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C:\Users\tie187090\Box\124_都市機構／維持保全BIM（パートナー含む）\2025年度\02_VRビューワ\テスト\APIテスト\"/>
    </mc:Choice>
  </mc:AlternateContent>
  <xr:revisionPtr revIDLastSave="0" documentId="8_{98328E06-A797-45A3-897C-A43BC77C8240}" xr6:coauthVersionLast="47" xr6:coauthVersionMax="47" xr10:uidLastSave="{00000000-0000-0000-0000-000000000000}"/>
  <bookViews>
    <workbookView xWindow="-28920" yWindow="885" windowWidth="29040" windowHeight="15720" firstSheet="2" activeTab="2" xr2:uid="{00000000-000D-0000-FFFF-FFFF00000000}"/>
  </bookViews>
  <sheets>
    <sheet name="facilities一覧取得GETparent指定" sheetId="17" r:id="rId1"/>
    <sheet name="facilities一覧取得GETkeyword指定" sheetId="19" r:id="rId2"/>
    <sheet name="facilities詳細取得GET" sheetId="18" r:id="rId3"/>
  </sheets>
  <definedNames>
    <definedName name="_xlnm._FilterDatabase" localSheetId="1" hidden="1">facilities一覧取得GETkeyword指定!$A$5:$S$74</definedName>
    <definedName name="_xlnm._FilterDatabase" localSheetId="0" hidden="1">facilities一覧取得GETparent指定!$A$5:$S$103</definedName>
    <definedName name="_xlnm._FilterDatabase" localSheetId="2" hidden="1">facilities詳細取得GET!$A$5:$S$211</definedName>
    <definedName name="_xlnm.Print_Area" localSheetId="1">facilities一覧取得GETkeyword指定!$A$1:$S$5</definedName>
    <definedName name="_xlnm.Print_Area" localSheetId="0">facilities一覧取得GETparent指定!$A$1:$S$5</definedName>
    <definedName name="_xlnm.Print_Area" localSheetId="2">facilities詳細取得GET!$A$1:$S$5</definedName>
    <definedName name="_xlnm.Print_Titles" localSheetId="1">facilities一覧取得GETkeyword指定!$1:$5</definedName>
    <definedName name="_xlnm.Print_Titles" localSheetId="0">facilities一覧取得GETparent指定!$1:$5</definedName>
    <definedName name="_xlnm.Print_Titles" localSheetId="2">facilities詳細取得GET!$1:$5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8" i="19" l="1"/>
  <c r="M77" i="19"/>
  <c r="J77" i="19"/>
  <c r="M215" i="18"/>
  <c r="M214" i="18"/>
  <c r="J214" i="18"/>
  <c r="M216" i="18" l="1"/>
  <c r="M79" i="19"/>
  <c r="M107" i="17"/>
  <c r="M106" i="17"/>
  <c r="J106" i="17"/>
  <c r="M108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nishi</author>
  </authors>
  <commentList>
    <comment ref="A5" authorId="0" shapeId="0" xr:uid="{1EFB90ED-E8B9-4089-B7A6-A92B3B04B3CC}">
      <text>
        <r>
          <rPr>
            <sz val="8"/>
            <color indexed="12"/>
            <rFont val="ＭＳ Ｐゴシック"/>
            <family val="3"/>
            <charset val="128"/>
          </rPr>
          <t>【大項目No.】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シートの先頭では、必ず入力してください。
　それ以降、同一No.が連続する場合には、省略可能です。</t>
        </r>
      </text>
    </comment>
    <comment ref="D5" authorId="0" shapeId="0" xr:uid="{9F501404-5217-481C-8B44-98F22042DFDB}">
      <text>
        <r>
          <rPr>
            <sz val="8"/>
            <color indexed="12"/>
            <rFont val="ＭＳ Ｐゴシック"/>
            <family val="3"/>
            <charset val="128"/>
          </rPr>
          <t>【中項目No.】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シートの先頭では、必ず入力してください。
　それ以降、同一No.が連続する場合には、省略可能です。</t>
        </r>
      </text>
    </comment>
    <comment ref="H5" authorId="0" shapeId="0" xr:uid="{C615DDDF-43D7-43FE-A8F7-81776D565572}">
      <text>
        <r>
          <rPr>
            <sz val="8"/>
            <color indexed="12"/>
            <rFont val="ＭＳ Ｐゴシック"/>
            <family val="3"/>
            <charset val="128"/>
          </rPr>
          <t>【小項目No.】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小項目No.はすべての小項目（実施内容）に記入してください。（省略不可）
　※表外右側に補足があります。</t>
        </r>
      </text>
    </comment>
    <comment ref="K5" authorId="0" shapeId="0" xr:uid="{5BFC166F-F87D-4DD3-ABED-0070B090713A}">
      <text>
        <r>
          <rPr>
            <sz val="8"/>
            <color indexed="12"/>
            <rFont val="ＭＳ Ｐゴシック"/>
            <family val="3"/>
            <charset val="128"/>
          </rPr>
          <t>【実施予定日】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  <r>
          <rPr>
            <sz val="8"/>
            <color indexed="81"/>
            <rFont val="ＭＳ Ｐゴシック"/>
            <family val="3"/>
            <charset val="128"/>
          </rPr>
          <t>　テスト計画書（テスト進捗管理表）にテスト予定数を
　出力する上で必要な項目です。</t>
        </r>
      </text>
    </comment>
    <comment ref="M5" authorId="0" shapeId="0" xr:uid="{284E31A4-D9A8-4A98-9B7B-BDB09937FB31}">
      <text>
        <r>
          <rPr>
            <sz val="8"/>
            <color indexed="12"/>
            <rFont val="ＭＳ Ｐゴシック"/>
            <family val="3"/>
            <charset val="128"/>
          </rPr>
          <t>【結果】</t>
        </r>
        <r>
          <rPr>
            <sz val="8"/>
            <color indexed="81"/>
            <rFont val="ＭＳ Ｐゴシック"/>
            <family val="3"/>
            <charset val="128"/>
          </rPr>
          <t xml:space="preserve">
　テストケースの実施が完了したら、”</t>
        </r>
        <r>
          <rPr>
            <u/>
            <sz val="8"/>
            <color indexed="81"/>
            <rFont val="ＭＳ Ｐゴシック"/>
            <family val="3"/>
            <charset val="128"/>
          </rPr>
          <t>合格</t>
        </r>
        <r>
          <rPr>
            <sz val="8"/>
            <color indexed="81"/>
            <rFont val="ＭＳ Ｐゴシック"/>
            <family val="3"/>
            <charset val="128"/>
          </rPr>
          <t xml:space="preserve">”としてください。
</t>
        </r>
      </text>
    </comment>
    <comment ref="O5" authorId="0" shapeId="0" xr:uid="{AA244050-612E-425C-BAB2-84C47225F1B2}">
      <text>
        <r>
          <rPr>
            <sz val="8"/>
            <color indexed="12"/>
            <rFont val="ＭＳ Ｐゴシック"/>
            <family val="3"/>
            <charset val="128"/>
          </rPr>
          <t>【完了日】</t>
        </r>
        <r>
          <rPr>
            <sz val="8"/>
            <color indexed="81"/>
            <rFont val="ＭＳ Ｐゴシック"/>
            <family val="3"/>
            <charset val="128"/>
          </rPr>
          <t xml:space="preserve">
　テストケースの実施が完了した日を記入してください。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nishi</author>
  </authors>
  <commentList>
    <comment ref="A5" authorId="0" shapeId="0" xr:uid="{CC271B88-B0A0-49C9-930C-1A20CD79564F}">
      <text>
        <r>
          <rPr>
            <sz val="8"/>
            <color indexed="12"/>
            <rFont val="ＭＳ Ｐゴシック"/>
            <family val="3"/>
            <charset val="128"/>
          </rPr>
          <t>【大項目No.】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シートの先頭では、必ず入力してください。
　それ以降、同一No.が連続する場合には、省略可能です。</t>
        </r>
      </text>
    </comment>
    <comment ref="D5" authorId="0" shapeId="0" xr:uid="{870F0B9D-E6D8-4F7A-84CB-C3926EA167AA}">
      <text>
        <r>
          <rPr>
            <sz val="8"/>
            <color indexed="12"/>
            <rFont val="ＭＳ Ｐゴシック"/>
            <family val="3"/>
            <charset val="128"/>
          </rPr>
          <t>【中項目No.】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シートの先頭では、必ず入力してください。
　それ以降、同一No.が連続する場合には、省略可能です。</t>
        </r>
      </text>
    </comment>
    <comment ref="H5" authorId="0" shapeId="0" xr:uid="{D745CB1B-4EF5-4D90-AB75-F1DA79E43DFE}">
      <text>
        <r>
          <rPr>
            <sz val="8"/>
            <color indexed="12"/>
            <rFont val="ＭＳ Ｐゴシック"/>
            <family val="3"/>
            <charset val="128"/>
          </rPr>
          <t>【小項目No.】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小項目No.はすべての小項目（実施内容）に記入してください。（省略不可）
　※表外右側に補足があります。</t>
        </r>
      </text>
    </comment>
    <comment ref="K5" authorId="0" shapeId="0" xr:uid="{6F8C034E-0294-4A7F-9E98-E6E34D9F184E}">
      <text>
        <r>
          <rPr>
            <sz val="8"/>
            <color indexed="12"/>
            <rFont val="ＭＳ Ｐゴシック"/>
            <family val="3"/>
            <charset val="128"/>
          </rPr>
          <t>【実施予定日】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  <r>
          <rPr>
            <sz val="8"/>
            <color indexed="81"/>
            <rFont val="ＭＳ Ｐゴシック"/>
            <family val="3"/>
            <charset val="128"/>
          </rPr>
          <t>　テスト計画書（テスト進捗管理表）にテスト予定数を
　出力する上で必要な項目です。</t>
        </r>
      </text>
    </comment>
    <comment ref="M5" authorId="0" shapeId="0" xr:uid="{14DEC9A3-EC14-4EB5-BF6F-8D3A7F421E4F}">
      <text>
        <r>
          <rPr>
            <sz val="8"/>
            <color indexed="12"/>
            <rFont val="ＭＳ Ｐゴシック"/>
            <family val="3"/>
            <charset val="128"/>
          </rPr>
          <t>【結果】</t>
        </r>
        <r>
          <rPr>
            <sz val="8"/>
            <color indexed="81"/>
            <rFont val="ＭＳ Ｐゴシック"/>
            <family val="3"/>
            <charset val="128"/>
          </rPr>
          <t xml:space="preserve">
　テストケースの実施が完了したら、”</t>
        </r>
        <r>
          <rPr>
            <u/>
            <sz val="8"/>
            <color indexed="81"/>
            <rFont val="ＭＳ Ｐゴシック"/>
            <family val="3"/>
            <charset val="128"/>
          </rPr>
          <t>合格</t>
        </r>
        <r>
          <rPr>
            <sz val="8"/>
            <color indexed="81"/>
            <rFont val="ＭＳ Ｐゴシック"/>
            <family val="3"/>
            <charset val="128"/>
          </rPr>
          <t xml:space="preserve">”としてください。
</t>
        </r>
      </text>
    </comment>
    <comment ref="O5" authorId="0" shapeId="0" xr:uid="{CFEB60C8-98D0-4A51-B780-C542C204C457}">
      <text>
        <r>
          <rPr>
            <sz val="8"/>
            <color indexed="12"/>
            <rFont val="ＭＳ Ｐゴシック"/>
            <family val="3"/>
            <charset val="128"/>
          </rPr>
          <t>【完了日】</t>
        </r>
        <r>
          <rPr>
            <sz val="8"/>
            <color indexed="81"/>
            <rFont val="ＭＳ Ｐゴシック"/>
            <family val="3"/>
            <charset val="128"/>
          </rPr>
          <t xml:space="preserve">
　テストケースの実施が完了した日を記入してください。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nishi</author>
  </authors>
  <commentList>
    <comment ref="A5" authorId="0" shapeId="0" xr:uid="{D95F916A-717E-4E5C-BACA-B09CA0F596F5}">
      <text>
        <r>
          <rPr>
            <sz val="8"/>
            <color indexed="12"/>
            <rFont val="ＭＳ Ｐゴシック"/>
            <family val="3"/>
            <charset val="128"/>
          </rPr>
          <t>【大項目No.】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シートの先頭では、必ず入力してください。
　それ以降、同一No.が連続する場合には、省略可能です。</t>
        </r>
      </text>
    </comment>
    <comment ref="D5" authorId="0" shapeId="0" xr:uid="{88D22367-9C9F-49DA-B606-D3C3DB29DE89}">
      <text>
        <r>
          <rPr>
            <sz val="8"/>
            <color indexed="12"/>
            <rFont val="ＭＳ Ｐゴシック"/>
            <family val="3"/>
            <charset val="128"/>
          </rPr>
          <t>【中項目No.】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シートの先頭では、必ず入力してください。
　それ以降、同一No.が連続する場合には、省略可能です。</t>
        </r>
      </text>
    </comment>
    <comment ref="H5" authorId="0" shapeId="0" xr:uid="{684505C1-FB8E-4712-9D5A-36449D8B079D}">
      <text>
        <r>
          <rPr>
            <sz val="8"/>
            <color indexed="12"/>
            <rFont val="ＭＳ Ｐゴシック"/>
            <family val="3"/>
            <charset val="128"/>
          </rPr>
          <t>【小項目No.】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小項目No.はすべての小項目（実施内容）に記入してください。（省略不可）
　※表外右側に補足があります。</t>
        </r>
      </text>
    </comment>
    <comment ref="K5" authorId="0" shapeId="0" xr:uid="{45313AAF-D516-4C97-81C2-AD7352E727EC}">
      <text>
        <r>
          <rPr>
            <sz val="8"/>
            <color indexed="12"/>
            <rFont val="ＭＳ Ｐゴシック"/>
            <family val="3"/>
            <charset val="128"/>
          </rPr>
          <t>【実施予定日】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  <r>
          <rPr>
            <sz val="8"/>
            <color indexed="81"/>
            <rFont val="ＭＳ Ｐゴシック"/>
            <family val="3"/>
            <charset val="128"/>
          </rPr>
          <t>　テスト計画書（テスト進捗管理表）にテスト予定数を
　出力する上で必要な項目です。</t>
        </r>
      </text>
    </comment>
    <comment ref="M5" authorId="0" shapeId="0" xr:uid="{F795B719-CD28-4111-9E11-215C4CF1BF94}">
      <text>
        <r>
          <rPr>
            <sz val="8"/>
            <color indexed="12"/>
            <rFont val="ＭＳ Ｐゴシック"/>
            <family val="3"/>
            <charset val="128"/>
          </rPr>
          <t>【結果】</t>
        </r>
        <r>
          <rPr>
            <sz val="8"/>
            <color indexed="81"/>
            <rFont val="ＭＳ Ｐゴシック"/>
            <family val="3"/>
            <charset val="128"/>
          </rPr>
          <t xml:space="preserve">
　テストケースの実施が完了したら、”</t>
        </r>
        <r>
          <rPr>
            <u/>
            <sz val="8"/>
            <color indexed="81"/>
            <rFont val="ＭＳ Ｐゴシック"/>
            <family val="3"/>
            <charset val="128"/>
          </rPr>
          <t>合格</t>
        </r>
        <r>
          <rPr>
            <sz val="8"/>
            <color indexed="81"/>
            <rFont val="ＭＳ Ｐゴシック"/>
            <family val="3"/>
            <charset val="128"/>
          </rPr>
          <t xml:space="preserve">”としてください。
</t>
        </r>
      </text>
    </comment>
    <comment ref="O5" authorId="0" shapeId="0" xr:uid="{9991AF52-9CCE-4328-888F-9F8C0039BC05}">
      <text>
        <r>
          <rPr>
            <sz val="8"/>
            <color indexed="12"/>
            <rFont val="ＭＳ Ｐゴシック"/>
            <family val="3"/>
            <charset val="128"/>
          </rPr>
          <t>【完了日】</t>
        </r>
        <r>
          <rPr>
            <sz val="8"/>
            <color indexed="81"/>
            <rFont val="ＭＳ Ｐゴシック"/>
            <family val="3"/>
            <charset val="128"/>
          </rPr>
          <t xml:space="preserve">
　テストケースの実施が完了した日を記入してください。
</t>
        </r>
      </text>
    </comment>
  </commentList>
</comments>
</file>

<file path=xl/sharedStrings.xml><?xml version="1.0" encoding="utf-8"?>
<sst xmlns="http://schemas.openxmlformats.org/spreadsheetml/2006/main" count="887" uniqueCount="330">
  <si>
    <t>PJ名</t>
  </si>
  <si>
    <t>PoC版開発</t>
    <rPh sb="3" eb="4">
      <t>バン</t>
    </rPh>
    <rPh sb="4" eb="6">
      <t>カイハツ</t>
    </rPh>
    <phoneticPr fontId="1"/>
  </si>
  <si>
    <t>工程</t>
  </si>
  <si>
    <t>API単体テスト</t>
    <rPh sb="3" eb="5">
      <t>タンタイ</t>
    </rPh>
    <phoneticPr fontId="1"/>
  </si>
  <si>
    <t>作成</t>
  </si>
  <si>
    <t>安田　晋</t>
    <rPh sb="0" eb="2">
      <t>ヤスダ</t>
    </rPh>
    <rPh sb="3" eb="4">
      <t>ススム</t>
    </rPh>
    <phoneticPr fontId="1"/>
  </si>
  <si>
    <t>区分</t>
  </si>
  <si>
    <t>成果物名</t>
  </si>
  <si>
    <t>(facilities)APIテスト仕様書 第0.0.1版</t>
    <rPh sb="18" eb="20">
      <t>シヨウ</t>
    </rPh>
    <phoneticPr fontId="1"/>
  </si>
  <si>
    <t>変更</t>
  </si>
  <si>
    <t>/  /</t>
  </si>
  <si>
    <t>システム名</t>
  </si>
  <si>
    <t>VRビューワーシステム</t>
    <phoneticPr fontId="1"/>
  </si>
  <si>
    <t>確認</t>
  </si>
  <si>
    <t>IZ323テスト仕様書(テストケース)：集計ツールV2.0対応</t>
    <rPh sb="8" eb="10">
      <t>シヨウ</t>
    </rPh>
    <phoneticPr fontId="1"/>
  </si>
  <si>
    <t>No.</t>
  </si>
  <si>
    <t>大項目名</t>
  </si>
  <si>
    <t>中項目名</t>
  </si>
  <si>
    <t>小項目（実施内容）</t>
    <phoneticPr fontId="1"/>
  </si>
  <si>
    <t>合格条件</t>
  </si>
  <si>
    <t>実施
予定日</t>
    <phoneticPr fontId="1"/>
  </si>
  <si>
    <t>実施日</t>
  </si>
  <si>
    <t>結果</t>
  </si>
  <si>
    <t>実施者</t>
  </si>
  <si>
    <t>完了日</t>
  </si>
  <si>
    <t>補足</t>
  </si>
  <si>
    <t>不具合票
番号</t>
    <phoneticPr fontId="1"/>
  </si>
  <si>
    <t>確認者</t>
  </si>
  <si>
    <t>確認日</t>
  </si>
  <si>
    <t>一覧取得（直下施設一覧）
GET /facilities?parentId=TopレベルファシリティのID
（SYS_ADMINロールを持つユーザ）</t>
    <rPh sb="0" eb="2">
      <t>イチラン</t>
    </rPh>
    <rPh sb="5" eb="11">
      <t>チョッカシセツイチラン</t>
    </rPh>
    <rPh sb="68" eb="69">
      <t>モ</t>
    </rPh>
    <phoneticPr fontId="1"/>
  </si>
  <si>
    <t>認証トークン</t>
    <phoneticPr fontId="1"/>
  </si>
  <si>
    <t>トークン無し</t>
    <rPh sb="4" eb="5">
      <t>ナ</t>
    </rPh>
    <phoneticPr fontId="1"/>
  </si>
  <si>
    <t>以下レスポンスが返ってくる
{
  "success": false,
  "error_code": "invalid_token",
  "message": "認証情報が不正です",
  "errors": null,
  "data": null
}</t>
    <rPh sb="0" eb="2">
      <t>イカ</t>
    </rPh>
    <rPh sb="8" eb="9">
      <t>カエ</t>
    </rPh>
    <phoneticPr fontId="1"/>
  </si>
  <si>
    <t>不正なトークンを送信</t>
    <rPh sb="0" eb="2">
      <t>フセイ</t>
    </rPh>
    <rPh sb="8" eb="10">
      <t>ソウシン</t>
    </rPh>
    <phoneticPr fontId="1"/>
  </si>
  <si>
    <t>正しいリクエストトークンを送信</t>
    <rPh sb="0" eb="1">
      <t>タダ</t>
    </rPh>
    <rPh sb="13" eb="15">
      <t>ソウシン</t>
    </rPh>
    <phoneticPr fontId="1"/>
  </si>
  <si>
    <t>正常にFacility情報が返ってくる</t>
    <rPh sb="0" eb="2">
      <t>セイジョウ</t>
    </rPh>
    <rPh sb="11" eb="13">
      <t>ジョウホウ</t>
    </rPh>
    <rPh sb="14" eb="15">
      <t>カエ</t>
    </rPh>
    <phoneticPr fontId="1"/>
  </si>
  <si>
    <t>正しいリフレッシュトークンを送信</t>
    <rPh sb="0" eb="1">
      <t>タダ</t>
    </rPh>
    <rPh sb="14" eb="16">
      <t>ソウシン</t>
    </rPh>
    <phoneticPr fontId="1"/>
  </si>
  <si>
    <t>parentid=存在しないファシリティIDを指定</t>
    <rPh sb="9" eb="11">
      <t>ソンザイ</t>
    </rPh>
    <rPh sb="23" eb="25">
      <t>シテイ</t>
    </rPh>
    <phoneticPr fontId="1"/>
  </si>
  <si>
    <t>レスポンスパラメータ＝0件で正常レスポンスが返ってくる</t>
    <rPh sb="12" eb="13">
      <t>ケン</t>
    </rPh>
    <rPh sb="14" eb="16">
      <t>セイジョウ</t>
    </rPh>
    <rPh sb="22" eb="23">
      <t>カエ</t>
    </rPh>
    <phoneticPr fontId="1"/>
  </si>
  <si>
    <t>parentidが数値化できない文字列である</t>
    <rPh sb="9" eb="12">
      <t>スウチカ</t>
    </rPh>
    <rPh sb="16" eb="19">
      <t>モジレツ</t>
    </rPh>
    <phoneticPr fontId="1"/>
  </si>
  <si>
    <t>エラーレスポンスが返ってくる</t>
    <rPh sb="9" eb="10">
      <t>カエ</t>
    </rPh>
    <phoneticPr fontId="1"/>
  </si>
  <si>
    <t>parentidが19byteより多い文字列である</t>
    <rPh sb="17" eb="18">
      <t>オオ</t>
    </rPh>
    <rPh sb="19" eb="22">
      <t>モジレツ</t>
    </rPh>
    <phoneticPr fontId="1"/>
  </si>
  <si>
    <t>keywordも指定されている</t>
    <rPh sb="8" eb="10">
      <t>シテイ</t>
    </rPh>
    <phoneticPr fontId="1"/>
  </si>
  <si>
    <t>レスポンスパラメータ</t>
    <phoneticPr fontId="1"/>
  </si>
  <si>
    <t>データ数</t>
    <rPh sb="3" eb="4">
      <t>スウ</t>
    </rPh>
    <phoneticPr fontId="1"/>
  </si>
  <si>
    <t>指定したTopファシリティIDの子ファシリティがすべて列挙されたデータとなっている
select * from FACILITIES_TREE 
where PARENT_FACILITY_ID=指定したTopファシリティID and 
DELETED_AT=False 
Order by SORT_ORDER</t>
    <rPh sb="0" eb="2">
      <t>シテイ</t>
    </rPh>
    <rPh sb="16" eb="17">
      <t>コ</t>
    </rPh>
    <rPh sb="27" eb="29">
      <t>レッキョ</t>
    </rPh>
    <phoneticPr fontId="1"/>
  </si>
  <si>
    <t>facility_id</t>
    <phoneticPr fontId="1"/>
  </si>
  <si>
    <t>指定したファシリティIDの子ファシリティのID
FACILITIES_TREE.FACILITY_ID</t>
    <rPh sb="0" eb="2">
      <t>シテイ</t>
    </rPh>
    <rPh sb="13" eb="14">
      <t>コ</t>
    </rPh>
    <phoneticPr fontId="1"/>
  </si>
  <si>
    <t>parent_id</t>
    <phoneticPr fontId="1"/>
  </si>
  <si>
    <t>指定したTopファシリティID</t>
    <rPh sb="0" eb="2">
      <t>シテイ</t>
    </rPh>
    <phoneticPr fontId="1"/>
  </si>
  <si>
    <t>facility_name</t>
    <phoneticPr fontId="1"/>
  </si>
  <si>
    <t>子ファシリティの施設名
FACILITIES_TREE.NODE_NAME</t>
    <rPh sb="0" eb="1">
      <t>コ</t>
    </rPh>
    <rPh sb="8" eb="10">
      <t>シセツ</t>
    </rPh>
    <rPh sb="10" eb="11">
      <t>メイ</t>
    </rPh>
    <phoneticPr fontId="1"/>
  </si>
  <si>
    <t>publish_mode</t>
    <phoneticPr fontId="1"/>
  </si>
  <si>
    <t>子ファシリティの公開モード
FACILITIES_TREE.PUBLIC_FLAG</t>
    <rPh sb="8" eb="10">
      <t>コウカイ</t>
    </rPh>
    <phoneticPr fontId="1"/>
  </si>
  <si>
    <t>is_outdoor</t>
    <phoneticPr fontId="1"/>
  </si>
  <si>
    <t>子ファシリティの屋外フラグ
FACILITIES_TREE.OUTER_FLAG</t>
    <rPh sb="8" eb="10">
      <t>オクガイ</t>
    </rPh>
    <phoneticPr fontId="1"/>
  </si>
  <si>
    <t>has_vr_image</t>
    <phoneticPr fontId="1"/>
  </si>
  <si>
    <t>以下のSQLの結果が1以上であればTrue、0ならFalse
select count(*) from FACILITIES_TREE, FACILITY_IMAGES 
where FACILITIES_TREE.FACILITY_ID=対象の子ファシリティのFACILITY_ID and FACILITIES_TREE.FACILITY_ID=FACILITY_IMAGES.FACILITY_ID and
FACILITIES_TREE.DELETED_AT=False and
FACILITY_IMAGES.DELETED_AT=False</t>
    <rPh sb="0" eb="2">
      <t>イカ</t>
    </rPh>
    <rPh sb="7" eb="9">
      <t>ケッカ</t>
    </rPh>
    <rPh sb="11" eb="13">
      <t>イジョウ</t>
    </rPh>
    <rPh sb="84" eb="85">
      <t>コ</t>
    </rPh>
    <phoneticPr fontId="1"/>
  </si>
  <si>
    <t>has_emergency_annotation</t>
    <phoneticPr fontId="1"/>
  </si>
  <si>
    <t>以下のSQLの結果が1以上であればTrue、0ならFalse
select count(*) from FACILITIES_TREE, ANNOTATIONS 
where FACILITY_ID=対象の子ファシリティのFACILITY_ID and FACILITIES_TREE.FACILITY_ID=ANNOTATIONS.FACILITY_ID and
ANNOTATIONS.ANNOTATION_TYPE='10’ and
FACILITIES_TREE.DELETED_AT=False and
ANNOTATIONS.DELETED_AT=False</t>
    <rPh sb="0" eb="2">
      <t>イカ</t>
    </rPh>
    <rPh sb="7" eb="9">
      <t>ケッカ</t>
    </rPh>
    <rPh sb="11" eb="13">
      <t>イジョウ</t>
    </rPh>
    <rPh sb="100" eb="102">
      <t>タイショウ</t>
    </rPh>
    <rPh sb="103" eb="104">
      <t>コ</t>
    </rPh>
    <phoneticPr fontId="1"/>
  </si>
  <si>
    <t>has_normal_annotation</t>
    <phoneticPr fontId="1"/>
  </si>
  <si>
    <t>以下のSQLの結果が1以上であればTrue、0ならFalse
select count(*) from FACILITIES_TREE, ANNOTATIONS 
where FACILITY_ID=対象の子ファシリティのFACILITY_ID and FACILITIES_TREE.FACILITY_ID=ANNOTATIONS.FACILITY_ID and
ANNOTATIONS.ANNOTATION_TYPE&lt;&gt;'10' and
FACILITIES_TREE.DELETED_AT=False and
ANNOTATIONS.DELETED_AT=False</t>
    <rPh sb="0" eb="2">
      <t>イカ</t>
    </rPh>
    <rPh sb="7" eb="9">
      <t>ケッカ</t>
    </rPh>
    <rPh sb="11" eb="13">
      <t>イジョウ</t>
    </rPh>
    <rPh sb="100" eb="102">
      <t>タイショウ</t>
    </rPh>
    <rPh sb="103" eb="104">
      <t>コ</t>
    </rPh>
    <phoneticPr fontId="1"/>
  </si>
  <si>
    <t>has_equipment</t>
    <phoneticPr fontId="1"/>
  </si>
  <si>
    <t>以下のSQLの結果が1以上であればTrue、0ならFalse
select count(*) from FACILITIES_TREE, FACILITY_IMAGES,EQUIPMENTS  
where FACILITY_ID=対象の子ファシリティのFACILITY_ID and FACILITIES_TREE.FACILITY_ID=FACILITY_IMAGES.FACILITY_ID and
FACILITY_IMAGES.PHOTO_ID=EQUIPMENTS .PHOTO_ID and
FACILITIES_TREE.DELETED_AT=False and
FACILITY_IMAGES.DELETED_AT=False and
EQUIPMENTS .DELETED_AT=False</t>
    <rPh sb="0" eb="2">
      <t>イカ</t>
    </rPh>
    <rPh sb="7" eb="9">
      <t>ケッカ</t>
    </rPh>
    <rPh sb="11" eb="13">
      <t>イジョウ</t>
    </rPh>
    <rPh sb="116" eb="118">
      <t>タイショウ</t>
    </rPh>
    <rPh sb="119" eb="120">
      <t>コ</t>
    </rPh>
    <phoneticPr fontId="1"/>
  </si>
  <si>
    <t>created_at</t>
    <phoneticPr fontId="1"/>
  </si>
  <si>
    <t>子ファシリティの作成日時
FACILITIES_TREE.CREATED_AT</t>
    <rPh sb="8" eb="10">
      <t>サクセイ</t>
    </rPh>
    <rPh sb="10" eb="12">
      <t>ニチジ</t>
    </rPh>
    <phoneticPr fontId="1"/>
  </si>
  <si>
    <t>updated_at</t>
    <phoneticPr fontId="1"/>
  </si>
  <si>
    <t>子ファシリティの更新日時
FACILITIES_TREE.UPDATED_AT</t>
    <rPh sb="8" eb="10">
      <t>コウシン</t>
    </rPh>
    <rPh sb="10" eb="12">
      <t>ニチジ</t>
    </rPh>
    <phoneticPr fontId="1"/>
  </si>
  <si>
    <t>deleted_at</t>
    <phoneticPr fontId="1"/>
  </si>
  <si>
    <t>子ファシリティの削除日時
FACILITIES_TREE.DELETED_AT</t>
    <rPh sb="8" eb="10">
      <t>サクジョ</t>
    </rPh>
    <rPh sb="10" eb="12">
      <t>ニチジ</t>
    </rPh>
    <phoneticPr fontId="1"/>
  </si>
  <si>
    <t>一覧取得（直下施設一覧）
GET /facilities?parentId=上記で取得した子ファシリティのID
（SYS_ADMINロールを持つユーザ）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rPh sb="38" eb="40">
      <t>ジョウキ</t>
    </rPh>
    <rPh sb="41" eb="43">
      <t>シュトク</t>
    </rPh>
    <rPh sb="45" eb="46">
      <t>コ</t>
    </rPh>
    <phoneticPr fontId="1"/>
  </si>
  <si>
    <t>1-2-1と同様の取得をした結果と合致している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</si>
  <si>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1-2-2と同様の取得をした結果と合致している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</si>
  <si>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1-2-3と同様の取得をした結果と合致している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</si>
  <si>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1-2-4と同様の取得をした結果と合致している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</si>
  <si>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1-2-5と同様の取得をした結果と合致している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</si>
  <si>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1-2-6と同様の取得をした結果と合致している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</si>
  <si>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1-2-7と同様の取得をした結果と合致している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</si>
  <si>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1-2-8と同様の取得をした結果と合致している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</si>
  <si>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1-2-9と同様の取得をした結果と合致している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</si>
  <si>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1-2-10と同様の取得をした結果と合致している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</si>
  <si>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1-2-11と同様の取得をした結果と合致している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</si>
  <si>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1-2-12と同様の取得をした結果と合致している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</si>
  <si>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1-2-13と同様の取得をした結果と合致している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</si>
  <si>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一覧取得（直下施設一覧）
GET /facilities?parentId=最下層直上のファシリティのID
（SYS_ADMINロールを持つユーザ）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rPh sb="38" eb="41">
      <t>サイカソウ</t>
    </rPh>
    <rPh sb="41" eb="43">
      <t>チョクウエ</t>
    </rPh>
    <phoneticPr fontId="1"/>
  </si>
  <si>
    <t>一覧取得（直下施設一覧）
GET /facilities?parentId=最下層のファシリティのID
（SYS_ADMINロールを持つユーザ）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rPh sb="38" eb="41">
      <t>サイカソウ</t>
    </rPh>
    <phoneticPr fontId="1"/>
  </si>
  <si>
    <t>子ファシリティが無いので０件であること</t>
    <rPh sb="0" eb="1">
      <t>コ</t>
    </rPh>
    <rPh sb="8" eb="9">
      <t>ナ</t>
    </rPh>
    <rPh sb="13" eb="14">
      <t>ケン</t>
    </rPh>
    <phoneticPr fontId="1"/>
  </si>
  <si>
    <t>一覧取得（直下施設一覧）
GET /facilities?parentId=TopレベルファシリティのID
（USER01）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phoneticPr fontId="1"/>
  </si>
  <si>
    <t>指定したTopファシリティIDの子ファシリティがすべて列挙されたデータとなっている
select * from FACILITIES_TREE,NODE_AUTHORITY_ROLE where FACILITIES_TREE.PARENT_FACILITY_ID=指定したTopファシリティID and 
FACILITIES_TREE.DELETED_AT=False and
FACILITIES_TREE.FACILITIE_ID=NODE_AUTHORITY_ROLE.FACILITIE_ID and
NODE_AUTHORITY_ROLE.ROLE_ID IN (USER01の保有ロール一覧）
Order by FACILITIES_TREE.XX</t>
    <rPh sb="0" eb="2">
      <t>シテイ</t>
    </rPh>
    <rPh sb="16" eb="17">
      <t>コ</t>
    </rPh>
    <rPh sb="27" eb="29">
      <t>レッキョ</t>
    </rPh>
    <rPh sb="296" eb="298">
      <t>ホユウ</t>
    </rPh>
    <rPh sb="301" eb="303">
      <t>イチラン</t>
    </rPh>
    <phoneticPr fontId="1"/>
  </si>
  <si>
    <r>
      <t xml:space="preserve">以下のSQLの結果が1以上であればTrue、0ならFalse
select count(*) from FACILITIES_TREE, FACILITY_IMAGES,NODE_AUTHORITY_ROLE
where FACILITIES_TREE.FACILITY_ID=対象の子ファシリティのFACILITY_ID and FACILITIES_TREE.FACILITY_ID=FACILITY_IMAGES.FACILITY_ID and
</t>
    </r>
    <r>
      <rPr>
        <sz val="9"/>
        <color rgb="FFFF0000"/>
        <rFont val="游ゴシック Medium"/>
        <family val="3"/>
        <charset val="128"/>
      </rPr>
      <t>FACILITIES_TREE.FACILITIE_ID=NODE_AUTHORITY_ROLE.FACILITIE_ID and
NODE_AUTHORITY_ROLE.AUTHORITY_ID=(VR画像参照のID) and
NODE_AUTHORITY_ROLE.ROLE_ID IN (USER01の保有ロール一覧） and</t>
    </r>
    <r>
      <rPr>
        <sz val="9"/>
        <rFont val="游ゴシック Medium"/>
        <family val="3"/>
        <charset val="128"/>
      </rPr>
      <t xml:space="preserve">
FACILITIES_TREE.DELETED_AT=False and
FACILITY_IMAGES.DELETED_AT=False</t>
    </r>
    <rPh sb="0" eb="2">
      <t>イカ</t>
    </rPh>
    <rPh sb="7" eb="9">
      <t>ケッカ</t>
    </rPh>
    <rPh sb="11" eb="13">
      <t>イジョウ</t>
    </rPh>
    <rPh sb="328" eb="332">
      <t>ガゾウサンショウ</t>
    </rPh>
    <phoneticPr fontId="1"/>
  </si>
  <si>
    <r>
      <t xml:space="preserve">以下のSQLの結果が1以上であればTrue、0ならFalse
select count(*) from FACILITIES_TREE, ANNOTATIONS,NODE_AUTHORITY_ROLE
where FACILITY_ID=対象の子ファシリティのFACILITY_ID and FACILITIES_TREE.FACILITY_ID=ANNOTATIONS.FACILITY_ID and
</t>
    </r>
    <r>
      <rPr>
        <sz val="9"/>
        <color rgb="FFFF0000"/>
        <rFont val="游ゴシック Medium"/>
        <family val="3"/>
        <charset val="128"/>
      </rPr>
      <t xml:space="preserve">FACILITIES_TREE.FACILITIE_ID=NODE_AUTHORITY_ROLE.FACILITIE_ID and
NODE_AUTHORITY_ROLE.AUTHORITY_ID in (付箋参照のID,付箋追加・変更・削除のID) and
NODE_AUTHORITY_ROLE.ROLE_ID IN (USER01の保有ロール一覧） and
</t>
    </r>
    <r>
      <rPr>
        <sz val="9"/>
        <rFont val="游ゴシック Medium"/>
        <family val="3"/>
        <charset val="128"/>
      </rPr>
      <t>ANNOTATIONS.ANNOTATION_TYPE='10’ and
FACILITIES_TREE.DELETED_AT=False and
ANNOTATIONS.DELETED_AT=False</t>
    </r>
    <rPh sb="0" eb="2">
      <t>イカ</t>
    </rPh>
    <rPh sb="7" eb="9">
      <t>ケッカ</t>
    </rPh>
    <rPh sb="11" eb="13">
      <t>イジョウ</t>
    </rPh>
    <rPh sb="119" eb="121">
      <t>タイショウ</t>
    </rPh>
    <rPh sb="122" eb="123">
      <t>コ</t>
    </rPh>
    <rPh sb="305" eb="307">
      <t>フセン</t>
    </rPh>
    <rPh sb="313" eb="315">
      <t>フセン</t>
    </rPh>
    <rPh sb="315" eb="317">
      <t>ツイカ</t>
    </rPh>
    <rPh sb="318" eb="320">
      <t>ヘンコウ</t>
    </rPh>
    <rPh sb="321" eb="323">
      <t>サクジョ</t>
    </rPh>
    <phoneticPr fontId="1"/>
  </si>
  <si>
    <r>
      <t xml:space="preserve">以下のSQLの結果が1以上であればTrue、0ならFalse
select count(*) from FACILITIES_TREE, ANNOTATIONS,NODE_AUTHORITY_ROLE
where FACILITY_ID=対象の子ファシリティのFACILITY_ID and FACILITIES_TREE.FACILITY_ID=ANNOTATIONS.FACILITY_ID and
</t>
    </r>
    <r>
      <rPr>
        <sz val="9"/>
        <color rgb="FFFF0000"/>
        <rFont val="游ゴシック Medium"/>
        <family val="3"/>
        <charset val="128"/>
      </rPr>
      <t xml:space="preserve">FACILITIES_TREE.FACILITIE_ID=NODE_AUTHORITY_ROLE.FACILITIE_ID and
NODE_AUTHORITY_ROLE.AUTHORITY_ID in (付箋参照のID,付箋追加・変更・削除のID) and
NODE_AUTHORITY_ROLE.ROLE_ID IN (USER01の保有ロール一覧） and
</t>
    </r>
    <r>
      <rPr>
        <sz val="9"/>
        <rFont val="游ゴシック Medium"/>
        <family val="3"/>
        <charset val="128"/>
      </rPr>
      <t>ANNOTATIONS.ANNOTATION_TYPE&lt;&gt;'10' and
FACILITIES_TREE.DELETED_AT=False and
ANNOTATIONS.DELETED_AT=False</t>
    </r>
    <rPh sb="0" eb="2">
      <t>イカ</t>
    </rPh>
    <rPh sb="7" eb="9">
      <t>ケッカ</t>
    </rPh>
    <rPh sb="11" eb="13">
      <t>イジョウ</t>
    </rPh>
    <rPh sb="119" eb="121">
      <t>タイショウ</t>
    </rPh>
    <rPh sb="122" eb="123">
      <t>コ</t>
    </rPh>
    <phoneticPr fontId="1"/>
  </si>
  <si>
    <r>
      <t xml:space="preserve">以下のSQLの結果が1以上であればTrue、0ならFalse
select count(*) from FACILITIES_TREE, FACILITY_IMAGES,EQUIPMENTS,NODE_AUTHORITY_ROLE
where FACILITY_ID=対象の子ファシリティのFACILITY_ID and FACILITIES_TREE.FACILITY_ID=FACILITY_IMAGES.FACILITY_ID and
</t>
    </r>
    <r>
      <rPr>
        <sz val="9"/>
        <color rgb="FFFF0000"/>
        <rFont val="游ゴシック Medium"/>
        <family val="3"/>
        <charset val="128"/>
      </rPr>
      <t xml:space="preserve">FACILITIES_TREE.FACILITIE_ID=NODE_AUTHORITY_ROLE.FACILITIE_ID and
NODE_AUTHORITY_ROLE.AUTHORITY_ID=設備参照のID and
NODE_AUTHORITY_ROLE.ROLE_ID IN (USER01の保有ロール一覧） and
</t>
    </r>
    <r>
      <rPr>
        <sz val="9"/>
        <rFont val="游ゴシック Medium"/>
        <family val="3"/>
        <charset val="128"/>
      </rPr>
      <t>FACILITY_IMAGES.PHOTO_ID=EQUIPMENTS .PHOTO_ID and
FACILITIES_TREE.DELETED_AT=False and
FACILITY_IMAGES.DELETED_AT=False and
EQUIPMENTS .DELETED_AT=False</t>
    </r>
    <rPh sb="0" eb="2">
      <t>イカ</t>
    </rPh>
    <rPh sb="7" eb="9">
      <t>ケッカ</t>
    </rPh>
    <rPh sb="11" eb="13">
      <t>イジョウ</t>
    </rPh>
    <rPh sb="134" eb="136">
      <t>タイショウ</t>
    </rPh>
    <rPh sb="137" eb="138">
      <t>コ</t>
    </rPh>
    <rPh sb="320" eb="322">
      <t>セツビ</t>
    </rPh>
    <phoneticPr fontId="1"/>
  </si>
  <si>
    <t>一覧取得（直下施設一覧）
GET /facilities?parentId=上記で取得した子ファシリティのID
（USER01）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rPh sb="38" eb="40">
      <t>ジョウキ</t>
    </rPh>
    <rPh sb="41" eb="43">
      <t>シュトク</t>
    </rPh>
    <rPh sb="45" eb="46">
      <t>コ</t>
    </rPh>
    <phoneticPr fontId="1"/>
  </si>
  <si>
    <t>5-2-1と同様の取得をした結果と合致している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</si>
  <si>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5-2-7と同様の取得をした結果と合致している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</si>
  <si>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5-2-8と同様の取得をした結果と合致している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</si>
  <si>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5-2-9と同様の取得をした結果と合致している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</si>
  <si>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5-2-10と同様の取得をした結果と合致している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</si>
  <si>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一覧取得（直下施設一覧）
GET /facilities?parentId=最下層直上のファシリティのID
（USER01）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rPh sb="38" eb="41">
      <t>サイカソウ</t>
    </rPh>
    <rPh sb="41" eb="43">
      <t>チョクウエ</t>
    </rPh>
    <phoneticPr fontId="1"/>
  </si>
  <si>
    <t>一覧取得（直下施設一覧）
GET /facilities?parentId=最下層のファシリティのID
（USER01）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rPh sb="38" eb="41">
      <t>サイカソウ</t>
    </rPh>
    <phoneticPr fontId="1"/>
  </si>
  <si>
    <t>合格</t>
    <rPh sb="0" eb="2">
      <t>ゴウカク</t>
    </rPh>
    <phoneticPr fontId="1"/>
  </si>
  <si>
    <t>不合格</t>
    <rPh sb="0" eb="3">
      <t>フゴウカク</t>
    </rPh>
    <phoneticPr fontId="1"/>
  </si>
  <si>
    <t>未実施</t>
    <rPh sb="0" eb="3">
      <t>ミジッシ</t>
    </rPh>
    <phoneticPr fontId="1"/>
  </si>
  <si>
    <t>一覧取得（検索）
GET /facilities?keyword=特定のキーワード
（SYS_ADMINロールを持つユーザ）</t>
    <rPh sb="0" eb="2">
      <t>イチラン</t>
    </rPh>
    <rPh sb="2" eb="4">
      <t>シュトク</t>
    </rPh>
    <rPh sb="5" eb="7">
      <t>ケンサク</t>
    </rPh>
    <rPh sb="33" eb="35">
      <t>トクテイ</t>
    </rPh>
    <rPh sb="56" eb="57">
      <t>モ</t>
    </rPh>
    <phoneticPr fontId="1"/>
  </si>
  <si>
    <t>keyword＝””でリクエスト</t>
    <phoneticPr fontId="1"/>
  </si>
  <si>
    <t>keyword文字列に制御コードが入っている</t>
    <rPh sb="7" eb="10">
      <t>モジレツ</t>
    </rPh>
    <rPh sb="11" eb="13">
      <t>セイギョ</t>
    </rPh>
    <rPh sb="17" eb="18">
      <t>ハイ</t>
    </rPh>
    <phoneticPr fontId="1"/>
  </si>
  <si>
    <t>keyword文字列長が128byte以上である</t>
    <rPh sb="7" eb="10">
      <t>モジレツ</t>
    </rPh>
    <rPh sb="10" eb="11">
      <t>チョウ</t>
    </rPh>
    <rPh sb="19" eb="21">
      <t>イジョウ</t>
    </rPh>
    <phoneticPr fontId="1"/>
  </si>
  <si>
    <t>指定したkeywordを含むファシリティがすべて列挙されたデータとなっている
select * from FACILITIES_TREE 
where NODE_NAME like %指定したkeyword% and 
DELETED_AT=False 
Order by XX</t>
    <rPh sb="0" eb="2">
      <t>シテイ</t>
    </rPh>
    <rPh sb="24" eb="26">
      <t>レッキョ</t>
    </rPh>
    <phoneticPr fontId="1"/>
  </si>
  <si>
    <t>取得したファシリティのID
FACILITIES_TREE.FACILITY_ID</t>
    <rPh sb="0" eb="2">
      <t>シュトク</t>
    </rPh>
    <phoneticPr fontId="1"/>
  </si>
  <si>
    <t>取得したファシリティの親ノードID
FACILITIES_TREE.PARENT_FACILITY_ID</t>
    <rPh sb="0" eb="2">
      <t>シュトク</t>
    </rPh>
    <rPh sb="11" eb="12">
      <t>オヤ</t>
    </rPh>
    <phoneticPr fontId="1"/>
  </si>
  <si>
    <t>取得したファシリティの施設名
FACILITIES_TREE.NODE_NAME</t>
    <rPh sb="0" eb="2">
      <t>シュトク</t>
    </rPh>
    <rPh sb="11" eb="13">
      <t>シセツ</t>
    </rPh>
    <rPh sb="13" eb="14">
      <t>メイ</t>
    </rPh>
    <phoneticPr fontId="1"/>
  </si>
  <si>
    <t>取得したファシリティの公開モード
FACILITIES_TREE.PUBLIC_FLAG</t>
    <rPh sb="11" eb="13">
      <t>コウカイ</t>
    </rPh>
    <phoneticPr fontId="1"/>
  </si>
  <si>
    <t>取得したファシリティの屋外フラグ
FACILITIES_TREE.OUTER_FLAG</t>
    <rPh sb="11" eb="13">
      <t>オクガイ</t>
    </rPh>
    <phoneticPr fontId="1"/>
  </si>
  <si>
    <t>以下のSQLの結果が1以上であればTrue、0ならFalse
select count(*) from FACILITIES_TREE, FACILITY_IMAGES 
where FACILITIES_TREE.FACILITY_ID=取得したファシリティのFACILITY_ID and FACILITIES_TREE.FACILITY_ID=FACILITY_IMAGES.FACILITY_ID and
FACILITIES_TREE.DELETED_AT=False and
FACILITY_IMAGES.DELETED_AT=False</t>
    <rPh sb="0" eb="2">
      <t>イカ</t>
    </rPh>
    <rPh sb="7" eb="9">
      <t>ケッカ</t>
    </rPh>
    <rPh sb="11" eb="13">
      <t>イジョウ</t>
    </rPh>
    <rPh sb="84" eb="85">
      <t>コ</t>
    </rPh>
    <phoneticPr fontId="1"/>
  </si>
  <si>
    <t>以下のSQLの結果が1以上であればTrue、0ならFalse
select count(*) from FACILITIES_TREE, ANNOTATIONS 
where FACILITY_ID=取得したファシリティのFACILITY_ID and FACILITIES_TREE.FACILITY_ID=ANNOTATIONS.FACILITY_ID and
ANNOTATIONS.ANNOTATION_TYPE=XX and
FACILITIES_TREE.DELETED_AT=False and
ANNOTATIONS.DELETED_AT=False</t>
    <rPh sb="0" eb="2">
      <t>イカ</t>
    </rPh>
    <rPh sb="7" eb="9">
      <t>ケッカ</t>
    </rPh>
    <rPh sb="11" eb="13">
      <t>イジョウ</t>
    </rPh>
    <phoneticPr fontId="1"/>
  </si>
  <si>
    <t>以下のSQLの結果が1以上であればTrue、0ならFalse
select count(*) from FACILITIES_TREE, FACILITY_IMAGES,EQUIPMENTS  
where FACILITY_ID=取得したファシリティのFACILITY_ID and FACILITIES_TREE.FACILITY_ID=FACILITY_IMAGES.FACILITY_ID and
FACILITY_IMAGES.PHOTO_ID=EQUIPMENTS .PHOTO_ID and
FACILITIES_TREE.DELETED_AT=False and
FACILITY_IMAGES.DELETED_AT=False and
EQUIPMENTS .DELETED_AT=False</t>
    <rPh sb="0" eb="2">
      <t>イカ</t>
    </rPh>
    <rPh sb="7" eb="9">
      <t>ケッカ</t>
    </rPh>
    <rPh sb="11" eb="13">
      <t>イジョウ</t>
    </rPh>
    <phoneticPr fontId="1"/>
  </si>
  <si>
    <t>取得したファシリティの作成日時
FACILITIES_TREE.CREATED_AT</t>
    <rPh sb="11" eb="13">
      <t>サクセイ</t>
    </rPh>
    <rPh sb="13" eb="15">
      <t>ニチジ</t>
    </rPh>
    <phoneticPr fontId="1"/>
  </si>
  <si>
    <t>取得したファシリティの更新日時
FACILITIES_TREE.UPDATED_AT</t>
    <rPh sb="11" eb="13">
      <t>コウシン</t>
    </rPh>
    <rPh sb="13" eb="15">
      <t>ニチジ</t>
    </rPh>
    <phoneticPr fontId="1"/>
  </si>
  <si>
    <t>取得したファシリティの削除日時
FACILITIES_TREE.DELETED_AT</t>
    <rPh sb="11" eb="13">
      <t>サクジョ</t>
    </rPh>
    <rPh sb="13" eb="15">
      <t>ニチジ</t>
    </rPh>
    <phoneticPr fontId="1"/>
  </si>
  <si>
    <t>一覧取得（検索）
GET /facilities?keyword=特定のキーワード（前のキーワードとは別のキーワード）
（SYS_ADMINロールを持つユーザ）</t>
    <rPh sb="0" eb="2">
      <t>イチラン</t>
    </rPh>
    <rPh sb="2" eb="4">
      <t>シュトク</t>
    </rPh>
    <rPh sb="5" eb="7">
      <t>ケンサク</t>
    </rPh>
    <rPh sb="33" eb="35">
      <t>トクテイ</t>
    </rPh>
    <rPh sb="42" eb="43">
      <t>マエ</t>
    </rPh>
    <rPh sb="51" eb="52">
      <t>ベツ</t>
    </rPh>
    <rPh sb="74" eb="75">
      <t>モ</t>
    </rPh>
    <phoneticPr fontId="1"/>
  </si>
  <si>
    <t>一覧取得（検索）
GET /facilities?keyword=特定のキーワード（該当データが0件であるようなキーワード）
（SYS_ADMINロールを持つユーザ）</t>
    <rPh sb="0" eb="2">
      <t>イチラン</t>
    </rPh>
    <rPh sb="2" eb="4">
      <t>シュトク</t>
    </rPh>
    <rPh sb="5" eb="7">
      <t>ケンサク</t>
    </rPh>
    <rPh sb="33" eb="35">
      <t>トクテイ</t>
    </rPh>
    <rPh sb="42" eb="44">
      <t>ガイトウ</t>
    </rPh>
    <rPh sb="49" eb="50">
      <t>ケン</t>
    </rPh>
    <rPh sb="77" eb="78">
      <t>モ</t>
    </rPh>
    <phoneticPr fontId="1"/>
  </si>
  <si>
    <t>データ件数が0件で正常レスポンスが返ってくる</t>
    <rPh sb="3" eb="5">
      <t>ケンスウ</t>
    </rPh>
    <rPh sb="7" eb="8">
      <t>ケン</t>
    </rPh>
    <rPh sb="9" eb="11">
      <t>セイジョウ</t>
    </rPh>
    <rPh sb="17" eb="18">
      <t>カエ</t>
    </rPh>
    <phoneticPr fontId="1"/>
  </si>
  <si>
    <t>一覧取得（検索）
GET /facilities?keyword=特定のキーワード
（USER01）</t>
    <rPh sb="0" eb="2">
      <t>イチラン</t>
    </rPh>
    <rPh sb="2" eb="4">
      <t>シュトク</t>
    </rPh>
    <rPh sb="5" eb="7">
      <t>ケンサク</t>
    </rPh>
    <rPh sb="33" eb="35">
      <t>トクテイ</t>
    </rPh>
    <phoneticPr fontId="1"/>
  </si>
  <si>
    <t>指定したTopファシリティIDの子ファシリティがすべて列挙されたデータとなっている
select * from FACILITIES_TREE,NODE_AUTHORITY_ROLE where where FACILITIES_TREE.NODE_NAME like %指定したkeyword% and 
FACILITIES_TREE.DELETED_AT=False and
FACILITIES_TREE.FACILITIE_ID=NODE_AUTHORITY_ROLE.FACILITIE_ID and
NODE_AUTHORITY_ROLE.ROLE_ID IN (USER01の保有ロール一覧）
Order by FACILITIES_TREE.XX</t>
    <rPh sb="0" eb="2">
      <t>シテイ</t>
    </rPh>
    <rPh sb="16" eb="17">
      <t>コ</t>
    </rPh>
    <rPh sb="27" eb="29">
      <t>レッキョ</t>
    </rPh>
    <rPh sb="296" eb="298">
      <t>ホユウ</t>
    </rPh>
    <rPh sb="301" eb="303">
      <t>イチラン</t>
    </rPh>
    <phoneticPr fontId="1"/>
  </si>
  <si>
    <t>一覧取得（検索）
GET /facilities?keyword=特定のキーワード（前のキーワードとは別のキーワード）
（USER01）</t>
    <rPh sb="0" eb="2">
      <t>イチラン</t>
    </rPh>
    <rPh sb="2" eb="4">
      <t>シュトク</t>
    </rPh>
    <rPh sb="5" eb="7">
      <t>ケンサク</t>
    </rPh>
    <rPh sb="33" eb="35">
      <t>トクテイ</t>
    </rPh>
    <phoneticPr fontId="1"/>
  </si>
  <si>
    <t>一覧取得（検索）
GET /facilities?keyword=特定のキーワード（該当データが0件であるようなキーワード）
（USER01）</t>
    <rPh sb="0" eb="2">
      <t>イチラン</t>
    </rPh>
    <rPh sb="2" eb="4">
      <t>シュトク</t>
    </rPh>
    <rPh sb="5" eb="7">
      <t>ケンサク</t>
    </rPh>
    <rPh sb="33" eb="35">
      <t>トクテイ</t>
    </rPh>
    <rPh sb="42" eb="44">
      <t>ガイトウ</t>
    </rPh>
    <rPh sb="49" eb="50">
      <t>ケン</t>
    </rPh>
    <phoneticPr fontId="1"/>
  </si>
  <si>
    <t>詳細取得
GET /facilities/{facilityid}（SYS_ADMINロールを持つユーザ）</t>
    <rPh sb="0" eb="4">
      <t>ショウサイシュトク</t>
    </rPh>
    <phoneticPr fontId="1"/>
  </si>
  <si>
    <t>facilityid=存在しないファシリティIDを指定</t>
    <rPh sb="11" eb="13">
      <t>ソンザイ</t>
    </rPh>
    <rPh sb="25" eb="27">
      <t>シテイ</t>
    </rPh>
    <phoneticPr fontId="1"/>
  </si>
  <si>
    <t>facilityidが数値化できない文字列である</t>
    <rPh sb="11" eb="14">
      <t>スウチカ</t>
    </rPh>
    <rPh sb="18" eb="21">
      <t>モジレツ</t>
    </rPh>
    <phoneticPr fontId="1"/>
  </si>
  <si>
    <t>facilityidが19byteより多い文字列である</t>
    <rPh sb="19" eb="20">
      <t>オオ</t>
    </rPh>
    <rPh sb="21" eb="24">
      <t>モジレツ</t>
    </rPh>
    <phoneticPr fontId="1"/>
  </si>
  <si>
    <t>{facilityId}/view-html、{facilityId}/vr-view以外のサブパラメータが指定されている</t>
    <rPh sb="43" eb="45">
      <t>イガイ</t>
    </rPh>
    <rPh sb="54" eb="56">
      <t>シテイ</t>
    </rPh>
    <phoneticPr fontId="1"/>
  </si>
  <si>
    <t>データ件数</t>
    <rPh sb="3" eb="5">
      <t>ケンスウ</t>
    </rPh>
    <phoneticPr fontId="1"/>
  </si>
  <si>
    <t>0件又は1件のみである</t>
    <rPh sb="1" eb="3">
      <t>ケンマタ</t>
    </rPh>
    <rPh sb="5" eb="6">
      <t>ケン</t>
    </rPh>
    <phoneticPr fontId="1"/>
  </si>
  <si>
    <t>tree_level</t>
    <phoneticPr fontId="1"/>
  </si>
  <si>
    <t>取得したファシリティの階層レベル
FACILITIES_TREE.TREE_LEVEL</t>
    <rPh sb="0" eb="2">
      <t>シュトク</t>
    </rPh>
    <rPh sb="11" eb="13">
      <t>カイソウ</t>
    </rPh>
    <phoneticPr fontId="1"/>
  </si>
  <si>
    <t>is_leaf</t>
    <phoneticPr fontId="1"/>
  </si>
  <si>
    <t>取得したファシリティの末端フラグ
FACILITIES_TREE.IS_LEAF</t>
    <rPh sb="0" eb="2">
      <t>シュトク</t>
    </rPh>
    <rPh sb="11" eb="13">
      <t>マッタン</t>
    </rPh>
    <phoneticPr fontId="1"/>
  </si>
  <si>
    <t>detail</t>
    <phoneticPr fontId="1"/>
  </si>
  <si>
    <t>取得したファシリティのノード詳細
FACILITIES_TREE.NODE_DESCRIPTION</t>
    <rPh sb="0" eb="2">
      <t>シュトク</t>
    </rPh>
    <rPh sb="14" eb="16">
      <t>ショウサイ</t>
    </rPh>
    <phoneticPr fontId="1"/>
  </si>
  <si>
    <t>has_permission</t>
    <phoneticPr fontId="1"/>
  </si>
  <si>
    <t>取得したファシリティの権限設定フラグ
FACILITIES_TREE.AUTHORITY＿SETTING_FLG</t>
    <rPh sb="0" eb="2">
      <t>シュトク</t>
    </rPh>
    <rPh sb="11" eb="15">
      <t>ケンゲンセッテイ</t>
    </rPh>
    <phoneticPr fontId="1"/>
  </si>
  <si>
    <t>images</t>
    <phoneticPr fontId="1"/>
  </si>
  <si>
    <t>以下のSQLの結果が一覧される
select FACILITY_IMAGES.* from FACILITIES_TREE, FACILITY_IMAGES 
where FACILITIES_TREE.FACILITY_ID=指定されたfacilityid and FACILITIES_TREE.FACILITY_ID=FACILITY_IMAGES.FACILITY_ID and
FACILITIES_TREE.DELETED_AT=False and
FACILITY_IMAGES.DELETED_AT=False
Order by FACILITY_IMAGES.PHOTO_ID</t>
    <rPh sb="0" eb="2">
      <t>イカ</t>
    </rPh>
    <rPh sb="7" eb="9">
      <t>ケッカ</t>
    </rPh>
    <rPh sb="10" eb="12">
      <t>イチラン</t>
    </rPh>
    <rPh sb="78" eb="79">
      <t>コ</t>
    </rPh>
    <rPh sb="114" eb="116">
      <t>シテイ</t>
    </rPh>
    <phoneticPr fontId="1"/>
  </si>
  <si>
    <t>　　image_id</t>
    <phoneticPr fontId="1"/>
  </si>
  <si>
    <t>上記で取得したFACILITY_IMAGES.PHOTO_ID</t>
    <rPh sb="0" eb="2">
      <t>ジョウキ</t>
    </rPh>
    <rPh sb="3" eb="5">
      <t>シュトク</t>
    </rPh>
    <phoneticPr fontId="1"/>
  </si>
  <si>
    <t>　　file_id</t>
    <phoneticPr fontId="1"/>
  </si>
  <si>
    <t>上記で取得したFACILITY_IMAGES.FILE_ID</t>
    <rPh sb="0" eb="2">
      <t>ジョウキ</t>
    </rPh>
    <rPh sb="3" eb="5">
      <t>シュトク</t>
    </rPh>
    <phoneticPr fontId="1"/>
  </si>
  <si>
    <t>　　image_name</t>
    <phoneticPr fontId="1"/>
  </si>
  <si>
    <t>上記で取得したFACILITY_IMAGES.PHOTO_NAME</t>
    <rPh sb="0" eb="2">
      <t>ジョウキ</t>
    </rPh>
    <rPh sb="3" eb="5">
      <t>シュトク</t>
    </rPh>
    <phoneticPr fontId="1"/>
  </si>
  <si>
    <t>　　shooting_height_m</t>
    <phoneticPr fontId="1"/>
  </si>
  <si>
    <t>上記で取得したFACILITY_IMAGES.SHOOTING_HEIGHT_M</t>
    <rPh sb="0" eb="2">
      <t>ジョウキ</t>
    </rPh>
    <rPh sb="3" eb="5">
      <t>シュトク</t>
    </rPh>
    <phoneticPr fontId="1"/>
  </si>
  <si>
    <t>　　ceiling_height_m</t>
    <phoneticPr fontId="1"/>
  </si>
  <si>
    <t>上記で取得したFACILITY_IMAGES.CEILING_HEIGHT_M</t>
    <rPh sb="0" eb="2">
      <t>ジョウキ</t>
    </rPh>
    <rPh sb="3" eb="5">
      <t>シュトク</t>
    </rPh>
    <phoneticPr fontId="1"/>
  </si>
  <si>
    <t>maps</t>
    <phoneticPr fontId="1"/>
  </si>
  <si>
    <t>以下のSQLの結果が一覧される
select MAPS.* 
from FACILITIES_TREE A,FACILITIES_TREE B,MAPS
where A.FACILITY_ID=指定されたfacilityid  and 
A.PARENT_FACILITY_ID=B.FACILITY_ID and
B.FACILITY_ID=MAPS.FACILITY_ID and
A.DELETED_AT=False and
B.DELETED_AT=False and
MAPS.DELETED_AT=False
Order by MAPS.MAP_ID</t>
    <rPh sb="0" eb="2">
      <t>イカ</t>
    </rPh>
    <phoneticPr fontId="1"/>
  </si>
  <si>
    <t>　　map_id</t>
    <phoneticPr fontId="1"/>
  </si>
  <si>
    <t>上記で取得したMAPS.MAP_ID</t>
    <rPh sb="0" eb="2">
      <t>ジョウキ</t>
    </rPh>
    <rPh sb="3" eb="5">
      <t>シュトク</t>
    </rPh>
    <phoneticPr fontId="1"/>
  </si>
  <si>
    <t>上記で取得したMAPS.FILE_ID</t>
    <rPh sb="0" eb="2">
      <t>ジョウキ</t>
    </rPh>
    <rPh sb="3" eb="5">
      <t>シュトク</t>
    </rPh>
    <phoneticPr fontId="1"/>
  </si>
  <si>
    <t>　　map_name</t>
    <phoneticPr fontId="1"/>
  </si>
  <si>
    <t>上記で取得したMAPS.MAP_NAME</t>
    <rPh sb="0" eb="2">
      <t>ジョウキ</t>
    </rPh>
    <rPh sb="3" eb="5">
      <t>シュトク</t>
    </rPh>
    <phoneticPr fontId="1"/>
  </si>
  <si>
    <t>map_points</t>
    <phoneticPr fontId="1"/>
  </si>
  <si>
    <t>以下のSQLの結果が一覧される
select MAP_POINTS.*
from MAPS,MAP_PONTS
where MAP_POINTS.MAP_ID in (上記で取得したMAPS.MAP_ID) and
MAP_PONTS.DELETED_AT=False
Order by MAPS.MAP_ID, MAP_PONTS.MAP_POINT_ID</t>
    <rPh sb="0" eb="2">
      <t>イカ</t>
    </rPh>
    <rPh sb="84" eb="86">
      <t>ジョウキ</t>
    </rPh>
    <rPh sb="87" eb="89">
      <t>シュトク</t>
    </rPh>
    <phoneticPr fontId="1"/>
  </si>
  <si>
    <t>　　map_point_id</t>
    <phoneticPr fontId="1"/>
  </si>
  <si>
    <t>上記で取得したMAP＿POINTS.MAP_POIT_ID</t>
    <rPh sb="0" eb="2">
      <t>ジョウキ</t>
    </rPh>
    <rPh sb="3" eb="5">
      <t>シュトク</t>
    </rPh>
    <phoneticPr fontId="1"/>
  </si>
  <si>
    <t>上記で取得したMAP＿POINTS.MAP_ID</t>
    <rPh sb="0" eb="2">
      <t>ジョウキ</t>
    </rPh>
    <rPh sb="3" eb="5">
      <t>シュトク</t>
    </rPh>
    <phoneticPr fontId="1"/>
  </si>
  <si>
    <t>　　x_coord</t>
    <phoneticPr fontId="1"/>
  </si>
  <si>
    <t>上記で取得したMAP＿POINTS.X</t>
    <rPh sb="0" eb="2">
      <t>ジョウキ</t>
    </rPh>
    <rPh sb="3" eb="5">
      <t>シュトク</t>
    </rPh>
    <phoneticPr fontId="1"/>
  </si>
  <si>
    <t>　　y_coord</t>
    <phoneticPr fontId="1"/>
  </si>
  <si>
    <t>上記で取得したMAP＿POINTS.Y</t>
    <rPh sb="0" eb="2">
      <t>ジョウキ</t>
    </rPh>
    <rPh sb="3" eb="5">
      <t>シュトク</t>
    </rPh>
    <phoneticPr fontId="1"/>
  </si>
  <si>
    <t>map_points.facility_idが必要では？</t>
    <rPh sb="23" eb="25">
      <t>ヒツヨウ</t>
    </rPh>
    <phoneticPr fontId="1"/>
  </si>
  <si>
    <t>roles</t>
    <phoneticPr fontId="1"/>
  </si>
  <si>
    <t>以下のSQLの結果が一覧される
select NODE_AUTHORITY_ROLE.*
from FACILITIES_TREE,NODE_AUTHORITY_ROLE
where FACILITY_ID=指定されたfacilityid  and 
FACILITIES_TREE.FACILITY_ID=NODE_AUTHORITY_ROLE.FACILITY_ID and
FACILITIES_TREE.DELETED_AT=False and
NODE_AUTHORITY_ROLE.DELETED_AT=False
Order by NODE_AUTHORITY_ROLE.NODE_AUTHORITY_ROLE_ID</t>
    <rPh sb="0" eb="2">
      <t>イカ</t>
    </rPh>
    <phoneticPr fontId="1"/>
  </si>
  <si>
    <t>　　keycloak_role_id</t>
    <phoneticPr fontId="1"/>
  </si>
  <si>
    <t>上記で取得したNODE_AUTHORITY_ROLE.ROLE_ID</t>
    <rPh sb="0" eb="2">
      <t>ジョウキ</t>
    </rPh>
    <rPh sb="3" eb="5">
      <t>シュトク</t>
    </rPh>
    <phoneticPr fontId="1"/>
  </si>
  <si>
    <t>　　keycloak_role_name</t>
    <phoneticPr fontId="1"/>
  </si>
  <si>
    <t>上記で取得したNODE_AUTHORITY_ROLE.ROLE_IDと別途取得済みのKeyCloakロール一覧情報より該当ロール名を取得したもの</t>
    <rPh sb="0" eb="2">
      <t>ジョウキ</t>
    </rPh>
    <rPh sb="3" eb="5">
      <t>シュトク</t>
    </rPh>
    <rPh sb="35" eb="37">
      <t>ベット</t>
    </rPh>
    <rPh sb="37" eb="40">
      <t>シュトクズ</t>
    </rPh>
    <rPh sb="53" eb="57">
      <t>イチランジョウホウ</t>
    </rPh>
    <rPh sb="59" eb="61">
      <t>ガイトウ</t>
    </rPh>
    <rPh sb="64" eb="65">
      <t>メイ</t>
    </rPh>
    <rPh sb="66" eb="68">
      <t>シュトク</t>
    </rPh>
    <phoneticPr fontId="1"/>
  </si>
  <si>
    <t>　　permission_code</t>
    <phoneticPr fontId="1"/>
  </si>
  <si>
    <t>上記で取得したNODE_AUTHORITY_ROLE.AUTHORITY_ID</t>
    <rPh sb="0" eb="2">
      <t>ジョウキ</t>
    </rPh>
    <rPh sb="3" eb="5">
      <t>シュトク</t>
    </rPh>
    <phoneticPr fontId="1"/>
  </si>
  <si>
    <t>equipments</t>
    <phoneticPr fontId="1"/>
  </si>
  <si>
    <t>以下のSQLの結果が一覧される
select EQUIPMENTS .*,EQUIPMENT_MASTER.* 
from FACILITIES_TREE,FACILITY_IMAGES,EQUIPMENTS ,EQUIPMENT_MASTER
where FACILITY_ID=指定されたfacilityid  and 
FACILITIES_TREE.FACILITY_ID=FACILITY_IMAGES.FACILITY_ID and
FACILITY_IMAGES.PHOTO_ID=EQUIPMENTS .PHOTO_ID and
EQUIPMENTS .EQUIPMENT_ID=EQUIPMENT_MASTER.EQUIPMENT_ID and
FACILITIES_TREE.DELETED_AT=False and
FACILITY_IMAGES.DELETED_AT=False and
EQUIPMENTS .DELETED_AT=False and
EQUIPMENT_MASTER.DELETED_AT=False
Order by EQUIPMENTS .ROOM_CONTENT_ID</t>
    <rPh sb="0" eb="2">
      <t>イカ</t>
    </rPh>
    <phoneticPr fontId="1"/>
  </si>
  <si>
    <t>　　equipment_id</t>
    <phoneticPr fontId="1"/>
  </si>
  <si>
    <t>上記で取得したEQUIPMENT_MASTER.EQUIPMENT_ID</t>
    <rPh sb="0" eb="2">
      <t>ジョウキ</t>
    </rPh>
    <rPh sb="3" eb="5">
      <t>シュトク</t>
    </rPh>
    <phoneticPr fontId="1"/>
  </si>
  <si>
    <t>　　equipment_name</t>
    <phoneticPr fontId="1"/>
  </si>
  <si>
    <t>上記で取得したEQUIPMENT_MASTER.EQUIPMENT_NAME</t>
    <rPh sb="0" eb="2">
      <t>ジョウキ</t>
    </rPh>
    <rPh sb="3" eb="5">
      <t>シュトク</t>
    </rPh>
    <phoneticPr fontId="1"/>
  </si>
  <si>
    <t>　　vr_x</t>
    <phoneticPr fontId="1"/>
  </si>
  <si>
    <t>上記で取得したEQUIPMENTS .YAW</t>
    <rPh sb="0" eb="2">
      <t>ジョウキ</t>
    </rPh>
    <rPh sb="3" eb="5">
      <t>シュトク</t>
    </rPh>
    <phoneticPr fontId="1"/>
  </si>
  <si>
    <t>　　vr_y</t>
    <phoneticPr fontId="1"/>
  </si>
  <si>
    <t>上記で取得したEQUIPMENTS .PITCH</t>
    <rPh sb="0" eb="2">
      <t>ジョウキ</t>
    </rPh>
    <rPh sb="3" eb="5">
      <t>シュトク</t>
    </rPh>
    <phoneticPr fontId="1"/>
  </si>
  <si>
    <t>annotations</t>
    <phoneticPr fontId="1"/>
  </si>
  <si>
    <t>以下のSQLの結果が一覧される
select ANNOTATIONS.* from FACILITIES_TREE, ANNOTATIONS 
where FACILITY_ID=指定されたfacilityid  and 
FACILITIES_TREE.FACILITY_ID=ANNOTATIONS.FACILITY_ID and
ANNOTATIONS.ANNOTATION_TYPE=XX and
FACILITIES_TREE.DELETED_AT=False and
ANNOTATIONS.DELETED_AT=False
Order by ANNOTATIONS.TYPE,ANNOTATIONS.POSTED_AT</t>
  </si>
  <si>
    <t>　　annotation_id</t>
    <phoneticPr fontId="1"/>
  </si>
  <si>
    <t>上記で取得したANNOTATIONS.EQUIPMENT_ID</t>
    <rPh sb="0" eb="2">
      <t>ジョウキ</t>
    </rPh>
    <rPh sb="3" eb="5">
      <t>シュトク</t>
    </rPh>
    <phoneticPr fontId="1"/>
  </si>
  <si>
    <t>　　title</t>
    <phoneticPr fontId="1"/>
  </si>
  <si>
    <t>　　type</t>
    <phoneticPr fontId="1"/>
  </si>
  <si>
    <t>上記で取得したANNOTATIONS.TYPE</t>
    <rPh sb="0" eb="2">
      <t>ジョウキ</t>
    </rPh>
    <rPh sb="3" eb="5">
      <t>シュトク</t>
    </rPh>
    <phoneticPr fontId="1"/>
  </si>
  <si>
    <t>以下のSQLの結果が1以上であればTrue、0ならFalse
select count(*) from FACILITIES_TREE, FACILITY_IMAGES 
where FACILITIES_TREE.FACILITY_ID=指定されたfacilityid  and FACILITIES_TREE.FACILITY_ID=FACILITY_IMAGES.FACILITY_ID and
FACILITIES_TREE.DELETED_AT=False and
FACILITY_IMAGES.DELETED_AT=False</t>
    <rPh sb="0" eb="2">
      <t>イカ</t>
    </rPh>
    <rPh sb="7" eb="9">
      <t>ケッカ</t>
    </rPh>
    <rPh sb="11" eb="13">
      <t>イジョウ</t>
    </rPh>
    <rPh sb="84" eb="85">
      <t>コ</t>
    </rPh>
    <phoneticPr fontId="1"/>
  </si>
  <si>
    <t>以下のSQLの結果が1以上であればTrue、0ならFalse
select count(*) from FACILITIES_TREE, ANNOTATIONS 
where FACILITY_ID=指定されたfacilityid  and 
FACILITIES_TREE.FACILITY_ID=ANNOTATIONS.FACILITY_ID and
ANNOTATIONS.ANNOTATION_TYPE=XX and
FACILITIES_TREE.DELETED_AT=False and
ANNOTATIONS.DELETED_AT=False</t>
    <rPh sb="0" eb="2">
      <t>イカ</t>
    </rPh>
    <rPh sb="7" eb="9">
      <t>ケッカ</t>
    </rPh>
    <rPh sb="11" eb="13">
      <t>イジョウ</t>
    </rPh>
    <phoneticPr fontId="1"/>
  </si>
  <si>
    <t>以下のSQLの結果が1以上であればTrue、0ならFalse
select count(*) from FACILITIES_TREE, ANNOTATIONS 
where FACILITY_ID=指定されたfacilityid  and 
FACILITIES_TREE.FACILITY_ID=ANNOTATIONS.FACILITY_ID and
ANNOTATIONS.ANNOTATION_TYPE&lt;&gt;XX and
FACILITIES_TREE.DELETED_AT=False and
ANNOTATIONS.DELETED_AT=False</t>
    <rPh sb="0" eb="2">
      <t>イカ</t>
    </rPh>
    <rPh sb="7" eb="9">
      <t>ケッカ</t>
    </rPh>
    <rPh sb="11" eb="13">
      <t>イジョウ</t>
    </rPh>
    <phoneticPr fontId="1"/>
  </si>
  <si>
    <t>以下のSQLの結果が1以上であればTrue、0ならFalse
select count(*) from FACILITIES_TREE, FACILITY_IMAGES,EQUIPMENTS  
where FACILITY_ID=指定されたfacilityid  and 
FACILITIES_TREE.FACILITY_ID=FACILITY_IMAGES.FACILITY_ID and
FACILITY_IMAGES.PHOTO_ID=EQUIPMENTS .PHOTO_ID and
FACILITIES_TREE.DELETED_AT=False and
FACILITY_IMAGES.DELETED_AT=False and
EQUIPMENTS .DELETED_AT=False</t>
    <rPh sb="0" eb="2">
      <t>イカ</t>
    </rPh>
    <rPh sb="7" eb="9">
      <t>ケッカ</t>
    </rPh>
    <rPh sb="11" eb="13">
      <t>イジョウ</t>
    </rPh>
    <phoneticPr fontId="1"/>
  </si>
  <si>
    <t>連続同一リクエスト送信</t>
    <rPh sb="0" eb="2">
      <t>レンゾク</t>
    </rPh>
    <rPh sb="2" eb="4">
      <t>ドウイツ</t>
    </rPh>
    <rPh sb="9" eb="11">
      <t>ソウシン</t>
    </rPh>
    <phoneticPr fontId="1"/>
  </si>
  <si>
    <t>レスポンス内容</t>
    <rPh sb="5" eb="7">
      <t>ナイヨウ</t>
    </rPh>
    <phoneticPr fontId="1"/>
  </si>
  <si>
    <t>常に同じレスポンスが返ってくる</t>
    <rPh sb="0" eb="1">
      <t>ツネ</t>
    </rPh>
    <rPh sb="2" eb="3">
      <t>オナ</t>
    </rPh>
    <rPh sb="10" eb="11">
      <t>カエ</t>
    </rPh>
    <phoneticPr fontId="1"/>
  </si>
  <si>
    <t>詳細取得
GET /facilities/{facilityid}（前のfacilityidとは別の施設）
（SYS_ADMINロールを持つユーザ）</t>
    <rPh sb="0" eb="2">
      <t>ショウサイ</t>
    </rPh>
    <rPh sb="2" eb="4">
      <t>シュトク</t>
    </rPh>
    <rPh sb="34" eb="35">
      <t>マエ</t>
    </rPh>
    <rPh sb="48" eb="49">
      <t>ベツ</t>
    </rPh>
    <rPh sb="50" eb="52">
      <t>シセツ</t>
    </rPh>
    <rPh sb="68" eb="69">
      <t>モ</t>
    </rPh>
    <phoneticPr fontId="1"/>
  </si>
  <si>
    <t>1-2-14と同様の取得をした結果と合致している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</si>
  <si>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1-2-15と同様の取得をした結果と合致している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</si>
  <si>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1-2-16と同様の取得をした結果と合致している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</si>
  <si>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1-2-17と同様の取得をした結果と合致している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</si>
  <si>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1-2-18と同様の取得をした結果と合致している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</si>
  <si>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1-2-19と同様の取得をした結果と合致している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</si>
  <si>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1-2-20と同様の取得をした結果と合致している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</si>
  <si>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1-2-21と同様の取得をした結果と合致している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</si>
  <si>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1-2-22と同様の取得をした結果と合致している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</si>
  <si>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1-2-23と同様の取得をした結果と合致している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</si>
  <si>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1-2-24と同様の取得をした結果と合致している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</si>
  <si>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1-2-25と同様の取得をした結果と合致している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</si>
  <si>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1-2-26と同様の取得をした結果と合致している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</si>
  <si>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1-2-27と同様の取得をした結果と合致している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</si>
  <si>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1-2-28と同様の取得をした結果と合致している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</si>
  <si>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1-2-29と同様の取得をした結果と合致している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</si>
  <si>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1-2-30と同様の取得をした結果と合致している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</si>
  <si>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1-2-31と同様の取得をした結果と合致している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</si>
  <si>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1-2-32と同様の取得をした結果と合致している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</si>
  <si>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1-2-33と同様の取得をした結果と合致している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</si>
  <si>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1-2-34と同様の取得をした結果と合致している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</si>
  <si>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1-2-35と同様の取得をした結果と合致している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</si>
  <si>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1-2-36と同様の取得をした結果と合致している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</si>
  <si>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1-2-37と同様の取得をした結果と合致している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</si>
  <si>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1-2-38と同様の取得をした結果と合致している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</si>
  <si>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1-2-39と同様の取得をした結果と合致している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</si>
  <si>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1-2-40と同様の取得をした結果と合致している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</si>
  <si>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1-2-41と同様の取得をした結果と合致している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</si>
  <si>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1-2-42と同様の取得をした結果と合致している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</si>
  <si>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1-2-43と同様の取得をした結果と合致している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</si>
  <si>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1-2-44と同様の取得をした結果と合致している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</si>
  <si>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1-2-45と同様の取得をした結果と合致している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</si>
  <si>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1-2-46と同様の取得をした結果と合致している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</si>
  <si>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PROXYキャッシュの影響確認</t>
    <rPh sb="11" eb="13">
      <t>エイキョウ</t>
    </rPh>
    <rPh sb="13" eb="15">
      <t>カクニン</t>
    </rPh>
    <phoneticPr fontId="1"/>
  </si>
  <si>
    <t>対象施設ツリーのデータ内容を変更して再度APIをCall</t>
    <rPh sb="0" eb="2">
      <t>タイショウ</t>
    </rPh>
    <rPh sb="2" eb="4">
      <t>シセツ</t>
    </rPh>
    <rPh sb="11" eb="13">
      <t>ナイヨウ</t>
    </rPh>
    <rPh sb="14" eb="16">
      <t>ヘンコウ</t>
    </rPh>
    <rPh sb="18" eb="20">
      <t>サイド</t>
    </rPh>
    <phoneticPr fontId="1"/>
  </si>
  <si>
    <t>GETリクエストを送信</t>
    <rPh sb="9" eb="11">
      <t>ソウシン</t>
    </rPh>
    <phoneticPr fontId="1"/>
  </si>
  <si>
    <t>変更した内容でレスポンスが返ってくる</t>
    <rPh sb="0" eb="2">
      <t>ヘンコウ</t>
    </rPh>
    <rPh sb="4" eb="6">
      <t>ナイヨウ</t>
    </rPh>
    <rPh sb="13" eb="14">
      <t>カエ</t>
    </rPh>
    <phoneticPr fontId="1"/>
  </si>
  <si>
    <t>詳細取得
GET /facilities/{facilityid}（USER01）</t>
    <rPh sb="0" eb="4">
      <t>ショウサイシュトク</t>
    </rPh>
    <phoneticPr fontId="1"/>
  </si>
  <si>
    <t>0件又は1件のみである。
但し、以下の施設参照権限ロールがある場合（件数が1件以上）のみ1件のデータを返し、権限が無ければ0件のデータを返す
select count(*) from NODE_AUTHORITY_ROLE 
where NODE_AUTHORITY_ROLE.FACILITIE_ID=引数のfacilityid and
NODE_AUTHORITY_ROLE.ROLE_ID IN (USER01の保有ロール一覧）</t>
    <rPh sb="1" eb="3">
      <t>ケンマタ</t>
    </rPh>
    <rPh sb="5" eb="6">
      <t>ケン</t>
    </rPh>
    <rPh sb="13" eb="14">
      <t>タダ</t>
    </rPh>
    <rPh sb="16" eb="18">
      <t>イカ</t>
    </rPh>
    <rPh sb="19" eb="23">
      <t>シセツサンショウ</t>
    </rPh>
    <rPh sb="23" eb="25">
      <t>ケンゲン</t>
    </rPh>
    <rPh sb="31" eb="33">
      <t>バアイ</t>
    </rPh>
    <rPh sb="34" eb="36">
      <t>ケンスウ</t>
    </rPh>
    <rPh sb="38" eb="41">
      <t>ケンイジョウ</t>
    </rPh>
    <rPh sb="45" eb="46">
      <t>ケン</t>
    </rPh>
    <rPh sb="51" eb="52">
      <t>カエ</t>
    </rPh>
    <rPh sb="54" eb="56">
      <t>ケンゲン</t>
    </rPh>
    <rPh sb="57" eb="58">
      <t>ナ</t>
    </rPh>
    <rPh sb="62" eb="63">
      <t>ケン</t>
    </rPh>
    <rPh sb="68" eb="69">
      <t>カエ</t>
    </rPh>
    <rPh sb="152" eb="154">
      <t>ヒキスウ</t>
    </rPh>
    <phoneticPr fontId="1"/>
  </si>
  <si>
    <t>2-2-2と同様の取得をした結果と合致している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</si>
  <si>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2-2-3と同様の取得をした結果と合致している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</si>
  <si>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2-2-4と同様の取得をした結果と合致している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</si>
  <si>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2-2-5と同様の取得をした結果と合致している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</si>
  <si>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2-2-6と同様の取得をした結果と合致している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</si>
  <si>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2-2-7と同様の取得をした結果と合致している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</si>
  <si>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2-2-8と同様の取得をした結果と合致している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</si>
  <si>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2-2-9と同様の取得をした結果と合致している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</si>
  <si>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2-2-10と同様の取得をした結果と合致している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</si>
  <si>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2-2-11と同様の取得をした結果と合致している
但し、以下の施設VR画像の参照権限ロールがある場合（件数が1件以上）のみデータを返し、権限が無ければ0件のデータを返す
select count(*) from NODE_AUTHORITY_ROLE 
where NODE_AUTHORITY_ROLE.FACILITIE_ID=引数のfacilityid and
NODE_AUTHORITY_ROLE.AUTHORITY_ID=(VR画像参照の権限ID) and
NODE_AUTHORITY_ROLE.ROLE_ID IN (USER01の保有ロール一覧）</t>
    <rPh sb="7" eb="9">
      <t>ドウヨウ</t>
    </rPh>
    <rPh sb="10" eb="12">
      <t>シュトク</t>
    </rPh>
    <rPh sb="15" eb="17">
      <t>ケッカ</t>
    </rPh>
    <rPh sb="18" eb="20">
      <t>ガッチ</t>
    </rPh>
    <rPh sb="35" eb="37">
      <t>ガゾウ</t>
    </rPh>
    <rPh sb="220" eb="224">
      <t>ガゾウサンショウ</t>
    </rPh>
    <rPh sb="225" eb="227">
      <t>ケンゲン</t>
    </rPh>
    <phoneticPr fontId="1"/>
  </si>
  <si>
    <t>2-2-12と同様の取得をした結果と合致している</t>
    <phoneticPr fontId="1"/>
  </si>
  <si>
    <t>2-2-13と同様の取得をした結果と合致している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</si>
  <si>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2-2-14と同様の取得をした結果と合致している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</si>
  <si>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2-2-15と同様の取得をした結果と合致している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</si>
  <si>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2-2-16と同様の取得をした結果と合致している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</si>
  <si>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2-2-17と同様の取得をした結果と合致している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</si>
  <si>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2-2-18と同様の取得をした結果と合致している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</si>
  <si>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2-2-19と同様の取得をした結果と合致している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</si>
  <si>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2-2-20と同様の取得をした結果と合致している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</si>
  <si>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2-2-21と同様の取得をした結果と合致している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</si>
  <si>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2-2-22と同様の取得をした結果と合致している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</si>
  <si>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2-2-23と同様の取得をした結果と合致している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</si>
  <si>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2-2-24と同様の取得をした結果と合致している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</si>
  <si>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2-2-25と同様の取得をした結果と合致している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</si>
  <si>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2-2-26と同様の取得をした結果と合致している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</si>
  <si>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2-2-27と同様の取得をした結果と合致している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</si>
  <si>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2-2-28と同様の取得をした結果と合致している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</si>
  <si>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2-2-29と同様の取得をした結果と合致している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</si>
  <si>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2-2-30と同様の取得をした結果と合致している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</si>
  <si>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2-2-31と同様の取得をした結果と合致している
但し、以下の施設VR画像の参照権限ロールがある場合（件数が1件以上）のみデータを返し、権限が無ければ0件のデータを返す
select count(*) from NODE_AUTHORITY_ROLE 
where NODE_AUTHORITY_ROLE.FACILITIE_ID=引数のfacilityid and
NODE_AUTHORITY_ROLE.AUTHORITY_ID=設備参照のID  and
NODE_AUTHORITY_ROLE.ROLE_ID IN (USER01の保有ロール一覧）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</si>
  <si>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2-2-32と同様の取得をした結果と合致している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</si>
  <si>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2-2-33と同様の取得をした結果と合致している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</si>
  <si>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2-2-34と同様の取得をした結果と合致している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</si>
  <si>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2-2-35と同様の取得をした結果と合致している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</si>
  <si>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2-2-36と同様の取得をした結果と合致している
但し、以下の施設VR画像の参照権限ロールがある場合（件数が1件以上）のみデータを返し、権限が無ければ0件のデータを返す
select count(*) from NODE_AUTHORITY_ROLE 
where NODE_AUTHORITY_ROLE.FACILITIE_ID=引数のfacilityid and
NODE_AUTHORITY_ROLE.AUTHORITY_ID=(付箋参照のID,付箋追加・変更・削除のID) and
NODE_AUTHORITY_ROLE.ROLE_ID IN (USER01の保有ロール一覧）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</si>
  <si>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2-2-37と同様の取得をした結果と合致している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</si>
  <si>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2-2-38と同様の取得をした結果と合致している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</si>
  <si>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2-2-39と同様の取得をした結果と合致している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</si>
  <si>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r>
      <t xml:space="preserve">以下のSQLの結果が1以上であればTrue、0ならFalse
select count(*) from FACILITIES_TREE, FACILITY_IMAGES,NODE_AUTHORITY_ROLE
where FACILITIES_TREE.FACILITY_ID=対象のFACILITY_ID and FACILITIES_TREE.FACILITY_ID=FACILITY_IMAGES.FACILITY_ID and
</t>
    </r>
    <r>
      <rPr>
        <sz val="9"/>
        <color rgb="FFFF0000"/>
        <rFont val="游ゴシック Medium"/>
        <family val="3"/>
        <charset val="128"/>
      </rPr>
      <t>FACILITIES_TREE.FACILITIE_ID=NODE_AUTHORITY_ROLE.FACILITIE_ID and
NODE_AUTHORITY_ROLE.AUTHORITY_ID=(VR画像参照のID) and
NODE_AUTHORITY_ROLE.ROLE_ID IN (USER01の保有ロール一覧） and</t>
    </r>
    <r>
      <rPr>
        <sz val="9"/>
        <rFont val="游ゴシック Medium"/>
        <family val="3"/>
        <charset val="128"/>
      </rPr>
      <t xml:space="preserve">
FACILITIES_TREE.DELETED_AT=False and
FACILITY_IMAGES.DELETED_AT=False</t>
    </r>
    <rPh sb="0" eb="2">
      <t>イカ</t>
    </rPh>
    <rPh sb="7" eb="9">
      <t>ケッカ</t>
    </rPh>
    <rPh sb="11" eb="13">
      <t>イジョウ</t>
    </rPh>
    <rPh sb="320" eb="324">
      <t>ガゾウサンショウ</t>
    </rPh>
    <phoneticPr fontId="1"/>
  </si>
  <si>
    <r>
      <t xml:space="preserve">以下のSQLの結果が1以上であればTrue、0ならFalse
select count(*) from FACILITIES_TREE, ANNOTATIONS,NODE_AUTHORITY_ROLE
where FACILITY_ID=対象のFACILITY_ID and
 FACILITIES_TREE.FACILITY_ID=ANNOTATIONS.FACILITY_ID and
</t>
    </r>
    <r>
      <rPr>
        <sz val="9"/>
        <color rgb="FFFF0000"/>
        <rFont val="游ゴシック Medium"/>
        <family val="3"/>
        <charset val="128"/>
      </rPr>
      <t xml:space="preserve">FACILITIES_TREE.FACILITIE_ID=NODE_AUTHORITY_ROLE.FACILITIE_ID and
NODE_AUTHORITY_ROLE.AUTHORITY_ID in (付箋参照のID,付箋追加・変更・削除のID) and
NODE_AUTHORITY_ROLE.ROLE_ID IN (USER01の保有ロール一覧） and
</t>
    </r>
    <r>
      <rPr>
        <sz val="9"/>
        <rFont val="游ゴシック Medium"/>
        <family val="3"/>
        <charset val="128"/>
      </rPr>
      <t>ANNOTATIONS.ANNOTATION_TYPE='10’ and
FACILITIES_TREE.DELETED_AT=False and
ANNOTATIONS.DELETED_AT=False</t>
    </r>
    <rPh sb="0" eb="2">
      <t>イカ</t>
    </rPh>
    <rPh sb="7" eb="9">
      <t>ケッカ</t>
    </rPh>
    <rPh sb="11" eb="13">
      <t>イジョウ</t>
    </rPh>
    <rPh sb="298" eb="300">
      <t>フセン</t>
    </rPh>
    <rPh sb="306" eb="308">
      <t>フセン</t>
    </rPh>
    <rPh sb="308" eb="310">
      <t>ツイカ</t>
    </rPh>
    <rPh sb="311" eb="313">
      <t>ヘンコウ</t>
    </rPh>
    <rPh sb="314" eb="316">
      <t>サクジョ</t>
    </rPh>
    <phoneticPr fontId="1"/>
  </si>
  <si>
    <r>
      <t xml:space="preserve">以下のSQLの結果が1以上であればTrue、0ならFalse
select count(*) from FACILITIES_TREE, ANNOTATIONS,NODE_AUTHORITY_ROLE
where FACILITY_ID=対象のFACILITY_ID and
FACILITIES_TREE.FACILITY_ID=ANNOTATIONS.FACILITY_ID and
</t>
    </r>
    <r>
      <rPr>
        <sz val="9"/>
        <color rgb="FFFF0000"/>
        <rFont val="游ゴシック Medium"/>
        <family val="3"/>
        <charset val="128"/>
      </rPr>
      <t xml:space="preserve">FACILITIES_TREE.FACILITIE_ID=NODE_AUTHORITY_ROLE.FACILITIE_ID and
NODE_AUTHORITY_ROLE.AUTHORITY_ID in (付箋参照のID,付箋追加・変更・削除のID) and
NODE_AUTHORITY_ROLE.ROLE_ID IN (USER01の保有ロール一覧） and
</t>
    </r>
    <r>
      <rPr>
        <sz val="9"/>
        <rFont val="游ゴシック Medium"/>
        <family val="3"/>
        <charset val="128"/>
      </rPr>
      <t>ANNOTATIONS.ANNOTATION_TYPE&lt;&gt;'10' and
FACILITIES_TREE.DELETED_AT=False and
ANNOTATIONS.DELETED_AT=False</t>
    </r>
    <rPh sb="0" eb="2">
      <t>イカ</t>
    </rPh>
    <rPh sb="7" eb="9">
      <t>ケッカ</t>
    </rPh>
    <rPh sb="11" eb="13">
      <t>イジョウ</t>
    </rPh>
    <phoneticPr fontId="1"/>
  </si>
  <si>
    <r>
      <t xml:space="preserve">以下のSQLの結果が1以上であればTrue、0ならFalse
select count(*) from FACILITIES_TREE, FACILITY_IMAGES,EQUIPMENTS,NODE_AUTHORITY_ROLE
where FACILITY_ID=対象のFACILITY_ID and 
FACILITIES_TREE.FACILITY_ID=FACILITY_IMAGES.FACILITY_ID and
</t>
    </r>
    <r>
      <rPr>
        <sz val="9"/>
        <color rgb="FFFF0000"/>
        <rFont val="游ゴシック Medium"/>
        <family val="3"/>
        <charset val="128"/>
      </rPr>
      <t xml:space="preserve">FACILITIES_TREE.FACILITIE_ID=NODE_AUTHORITY_ROLE.FACILITIE_ID and
NODE_AUTHORITY_ROLE.AUTHORITY_ID=設備参照のID and
NODE_AUTHORITY_ROLE.ROLE_ID IN (USER01の保有ロール一覧） and
</t>
    </r>
    <r>
      <rPr>
        <sz val="9"/>
        <rFont val="游ゴシック Medium"/>
        <family val="3"/>
        <charset val="128"/>
      </rPr>
      <t>FACILITY_IMAGES.PHOTO_ID=EQUIPMENTS .PHOTO_ID and
FACILITIES_TREE.DELETED_AT=False and
FACILITY_IMAGES.DELETED_AT=False and
EQUIPMENTS .DELETED_AT=False</t>
    </r>
    <rPh sb="0" eb="2">
      <t>イカ</t>
    </rPh>
    <rPh sb="7" eb="9">
      <t>ケッカ</t>
    </rPh>
    <rPh sb="11" eb="13">
      <t>イジョウ</t>
    </rPh>
    <rPh sb="313" eb="315">
      <t>セツビ</t>
    </rPh>
    <phoneticPr fontId="1"/>
  </si>
  <si>
    <t>2-2-44と同様の取得をした結果と合致している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</si>
  <si>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2-2-45と同様の取得をした結果と合致している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</si>
  <si>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2-2-46と同様の取得をした結果と合致している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</si>
  <si>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5-2-2と同様の取得をした結果と合致している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</si>
  <si>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5-2-3と同様の取得をした結果と合致している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</si>
  <si>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5-2-4と同様の取得をした結果と合致している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</si>
  <si>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5-2-5と同様の取得をした結果と合致している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</si>
  <si>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5-2-6と同様の取得をした結果と合致している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1"/>
  </si>
  <si>
    <t>5-2-11と同様の取得をした結果と合致している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</si>
  <si>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5-2-12と同様の取得をした結果と合致している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</si>
  <si>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5-2-13と同様の取得をした結果と合致している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</si>
  <si>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5-2-14と同様の取得をした結果と合致している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</si>
  <si>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5-2-15と同様の取得をした結果と合致している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</si>
  <si>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5-2-16と同様の取得をした結果と合致している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</si>
  <si>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5-2-17と同様の取得をした結果と合致している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</si>
  <si>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5-2-18と同様の取得をした結果と合致している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</si>
  <si>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5-2-19と同様の取得をした結果と合致している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</si>
  <si>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5-2-20と同様の取得をした結果と合致している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</si>
  <si>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5-2-21と同様の取得をした結果と合致している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</si>
  <si>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5-2-22と同様の取得をした結果と合致している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</si>
  <si>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5-2-23と同様の取得をした結果と合致している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</si>
  <si>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5-2-24と同様の取得をした結果と合致している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</si>
  <si>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5-2-25と同様の取得をした結果と合致している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</si>
  <si>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5-2-26と同様の取得をした結果と合致している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</si>
  <si>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5-2-27と同様の取得をした結果と合致している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</si>
  <si>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5-2-28と同様の取得をした結果と合致している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</si>
  <si>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5-2-29と同様の取得をした結果と合致している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</si>
  <si>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5-2-30と同様の取得をした結果と合致している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</si>
  <si>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5-2-31と同様の取得をした結果と合致している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</si>
  <si>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5-2-32と同様の取得をした結果と合致している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</si>
  <si>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5-2-33と同様の取得をした結果と合致している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</si>
  <si>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5-2-34と同様の取得をした結果と合致している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</si>
  <si>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5-2-35と同様の取得をした結果と合致している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</si>
  <si>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5-2-36と同様の取得をした結果と合致している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</si>
  <si>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5-2-37と同様の取得をした結果と合致している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</si>
  <si>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5-2-38と同様の取得をした結果と合致している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</si>
  <si>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5-2-39と同様の取得をした結果と合致している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</si>
  <si>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5-2-40と同様の取得をした結果と合致している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</si>
  <si>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5-2-41と同様の取得をした結果と合致している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</si>
  <si>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5-2-42と同様の取得をした結果と合致している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</si>
  <si>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5-2-43と同様の取得をした結果と合致している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</si>
  <si>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5-2-44と同様の取得をした結果と合致している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</si>
  <si>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5-2-45と同様の取得をした結果と合致している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</si>
  <si>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5-2-46と同様の取得をした結果と合致している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</si>
  <si>
    <t>5-2-47と同様の取得をした結果と合致している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</si>
</sst>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0_);[Red]\(0\)"/>
    <numFmt numFmtId="178" formatCode="0_ "/>
  </numFmts>
  <fonts count="15">
    <font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sz val="8"/>
      <color indexed="12"/>
      <name val="ＭＳ Ｐゴシック"/>
      <family val="3"/>
      <charset val="128"/>
    </font>
    <font>
      <sz val="8"/>
      <color indexed="81"/>
      <name val="ＭＳ Ｐゴシック"/>
      <family val="3"/>
      <charset val="128"/>
    </font>
    <font>
      <u/>
      <sz val="8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9"/>
      <name val="ＭＳ Ｐ明朝"/>
      <family val="1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10"/>
      <color theme="1"/>
      <name val="メイリオ"/>
      <family val="2"/>
      <charset val="128"/>
    </font>
    <font>
      <sz val="10"/>
      <name val="游ゴシック Medium"/>
      <family val="3"/>
      <charset val="128"/>
    </font>
    <font>
      <sz val="9"/>
      <name val="游ゴシック Medium"/>
      <family val="3"/>
      <charset val="128"/>
    </font>
    <font>
      <u/>
      <sz val="10"/>
      <name val="游ゴシック Medium"/>
      <family val="3"/>
      <charset val="128"/>
    </font>
    <font>
      <sz val="6"/>
      <color indexed="9"/>
      <name val="游ゴシック Medium"/>
      <family val="3"/>
      <charset val="128"/>
    </font>
    <font>
      <sz val="9"/>
      <color rgb="FFFF0000"/>
      <name val="游ゴシック Medium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6" fillId="0" borderId="0"/>
    <xf numFmtId="0" fontId="8" fillId="0" borderId="0"/>
    <xf numFmtId="0" fontId="7" fillId="0" borderId="0"/>
    <xf numFmtId="0" fontId="9" fillId="0" borderId="0">
      <alignment vertical="center"/>
    </xf>
  </cellStyleXfs>
  <cellXfs count="81">
    <xf numFmtId="0" fontId="0" fillId="0" borderId="0" xfId="0"/>
    <xf numFmtId="0" fontId="10" fillId="0" borderId="1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176" fontId="10" fillId="0" borderId="4" xfId="0" applyNumberFormat="1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1" fillId="0" borderId="0" xfId="0" applyFont="1"/>
    <xf numFmtId="0" fontId="10" fillId="0" borderId="6" xfId="0" applyFont="1" applyBorder="1" applyAlignment="1">
      <alignment vertical="center"/>
    </xf>
    <xf numFmtId="176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7" xfId="0" applyFont="1" applyBorder="1" applyAlignment="1">
      <alignment vertical="center"/>
    </xf>
    <xf numFmtId="176" fontId="10" fillId="0" borderId="8" xfId="0" applyNumberFormat="1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0" fillId="0" borderId="8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horizontal="center" vertical="center"/>
    </xf>
    <xf numFmtId="177" fontId="10" fillId="3" borderId="14" xfId="0" applyNumberFormat="1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vertical="center"/>
    </xf>
    <xf numFmtId="0" fontId="10" fillId="3" borderId="18" xfId="0" applyFont="1" applyFill="1" applyBorder="1" applyAlignment="1">
      <alignment horizontal="center" vertical="center"/>
    </xf>
    <xf numFmtId="176" fontId="10" fillId="3" borderId="19" xfId="0" applyNumberFormat="1" applyFont="1" applyFill="1" applyBorder="1" applyAlignment="1">
      <alignment horizontal="center" vertical="center" wrapText="1"/>
    </xf>
    <xf numFmtId="176" fontId="10" fillId="3" borderId="21" xfId="0" applyNumberFormat="1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Continuous" vertical="center" wrapText="1"/>
    </xf>
    <xf numFmtId="0" fontId="10" fillId="3" borderId="20" xfId="0" applyFont="1" applyFill="1" applyBorder="1" applyAlignment="1">
      <alignment horizontal="centerContinuous" vertical="center"/>
    </xf>
    <xf numFmtId="178" fontId="11" fillId="0" borderId="10" xfId="0" applyNumberFormat="1" applyFont="1" applyBorder="1" applyAlignment="1">
      <alignment vertical="center" shrinkToFit="1"/>
    </xf>
    <xf numFmtId="176" fontId="11" fillId="0" borderId="12" xfId="0" applyNumberFormat="1" applyFont="1" applyBorder="1" applyAlignment="1">
      <alignment horizontal="center" vertical="center"/>
    </xf>
    <xf numFmtId="176" fontId="11" fillId="0" borderId="22" xfId="0" applyNumberFormat="1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 shrinkToFit="1"/>
    </xf>
    <xf numFmtId="176" fontId="11" fillId="0" borderId="9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vertical="center" wrapText="1"/>
    </xf>
    <xf numFmtId="0" fontId="11" fillId="0" borderId="9" xfId="0" applyFont="1" applyBorder="1" applyAlignment="1">
      <alignment vertical="center" shrinkToFit="1"/>
    </xf>
    <xf numFmtId="0" fontId="11" fillId="0" borderId="28" xfId="0" applyFont="1" applyBorder="1" applyAlignment="1">
      <alignment vertical="center" wrapText="1"/>
    </xf>
    <xf numFmtId="178" fontId="11" fillId="0" borderId="30" xfId="0" applyNumberFormat="1" applyFont="1" applyBorder="1" applyAlignment="1">
      <alignment vertical="center" shrinkToFit="1"/>
    </xf>
    <xf numFmtId="0" fontId="11" fillId="0" borderId="34" xfId="0" applyFont="1" applyBorder="1" applyAlignment="1">
      <alignment vertical="center" wrapText="1"/>
    </xf>
    <xf numFmtId="176" fontId="11" fillId="0" borderId="35" xfId="0" applyNumberFormat="1" applyFont="1" applyBorder="1" applyAlignment="1">
      <alignment horizontal="center" vertical="center"/>
    </xf>
    <xf numFmtId="176" fontId="11" fillId="0" borderId="36" xfId="0" applyNumberFormat="1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 shrinkToFit="1"/>
    </xf>
    <xf numFmtId="176" fontId="11" fillId="0" borderId="29" xfId="0" applyNumberFormat="1" applyFont="1" applyBorder="1" applyAlignment="1">
      <alignment horizontal="center" vertical="center"/>
    </xf>
    <xf numFmtId="0" fontId="11" fillId="0" borderId="37" xfId="0" applyFont="1" applyBorder="1" applyAlignment="1">
      <alignment vertical="center" wrapText="1"/>
    </xf>
    <xf numFmtId="0" fontId="11" fillId="0" borderId="29" xfId="0" applyFont="1" applyBorder="1" applyAlignment="1">
      <alignment vertical="center" shrinkToFit="1"/>
    </xf>
    <xf numFmtId="0" fontId="11" fillId="0" borderId="31" xfId="0" applyFont="1" applyBorder="1" applyAlignment="1">
      <alignment vertical="center" wrapText="1"/>
    </xf>
    <xf numFmtId="0" fontId="11" fillId="0" borderId="0" xfId="0" applyFont="1" applyAlignment="1">
      <alignment vertical="center"/>
    </xf>
    <xf numFmtId="0" fontId="11" fillId="0" borderId="23" xfId="0" applyFont="1" applyBorder="1" applyAlignment="1">
      <alignment vertical="center" wrapText="1"/>
    </xf>
    <xf numFmtId="0" fontId="11" fillId="0" borderId="13" xfId="0" applyFont="1" applyBorder="1" applyAlignment="1">
      <alignment vertical="center" wrapText="1"/>
    </xf>
    <xf numFmtId="0" fontId="11" fillId="0" borderId="24" xfId="0" applyFont="1" applyBorder="1" applyAlignment="1">
      <alignment vertical="center" wrapText="1"/>
    </xf>
    <xf numFmtId="0" fontId="11" fillId="0" borderId="38" xfId="0" applyFont="1" applyBorder="1" applyAlignment="1">
      <alignment vertical="center"/>
    </xf>
    <xf numFmtId="0" fontId="11" fillId="0" borderId="38" xfId="0" applyFont="1" applyBorder="1" applyAlignment="1">
      <alignment vertical="center" wrapText="1"/>
    </xf>
    <xf numFmtId="0" fontId="14" fillId="0" borderId="28" xfId="0" applyFont="1" applyBorder="1" applyAlignment="1">
      <alignment vertical="center" wrapText="1"/>
    </xf>
    <xf numFmtId="0" fontId="11" fillId="4" borderId="28" xfId="0" applyFont="1" applyFill="1" applyBorder="1" applyAlignment="1">
      <alignment vertical="center" wrapText="1"/>
    </xf>
    <xf numFmtId="14" fontId="11" fillId="0" borderId="1" xfId="0" applyNumberFormat="1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0" borderId="23" xfId="0" applyFont="1" applyBorder="1" applyAlignment="1">
      <alignment vertical="center" wrapText="1"/>
    </xf>
    <xf numFmtId="0" fontId="11" fillId="0" borderId="13" xfId="0" applyFont="1" applyBorder="1" applyAlignment="1">
      <alignment vertical="center" wrapText="1"/>
    </xf>
    <xf numFmtId="0" fontId="11" fillId="0" borderId="24" xfId="0" applyFont="1" applyBorder="1" applyAlignment="1">
      <alignment vertical="center" wrapText="1"/>
    </xf>
    <xf numFmtId="0" fontId="10" fillId="2" borderId="1" xfId="0" applyFont="1" applyFill="1" applyBorder="1" applyAlignment="1">
      <alignment vertical="center"/>
    </xf>
    <xf numFmtId="0" fontId="10" fillId="0" borderId="25" xfId="0" applyFont="1" applyBorder="1" applyAlignment="1">
      <alignment vertical="center"/>
    </xf>
    <xf numFmtId="0" fontId="10" fillId="2" borderId="5" xfId="0" applyFont="1" applyFill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0" fillId="2" borderId="3" xfId="0" applyFont="1" applyFill="1" applyBorder="1" applyAlignment="1">
      <alignment vertical="center"/>
    </xf>
    <xf numFmtId="0" fontId="10" fillId="0" borderId="27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10" fillId="0" borderId="26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1" fillId="0" borderId="27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0" fontId="11" fillId="0" borderId="26" xfId="0" applyFont="1" applyBorder="1" applyAlignment="1">
      <alignment vertical="center"/>
    </xf>
    <xf numFmtId="0" fontId="11" fillId="0" borderId="23" xfId="0" applyFont="1" applyBorder="1" applyAlignment="1">
      <alignment horizontal="left" vertical="center" wrapText="1"/>
    </xf>
    <xf numFmtId="0" fontId="11" fillId="0" borderId="24" xfId="0" applyFont="1" applyBorder="1" applyAlignment="1">
      <alignment horizontal="left" vertical="center" wrapText="1"/>
    </xf>
    <xf numFmtId="0" fontId="11" fillId="0" borderId="13" xfId="0" applyFont="1" applyBorder="1" applyAlignment="1">
      <alignment horizontal="left" vertical="center" wrapText="1"/>
    </xf>
    <xf numFmtId="0" fontId="11" fillId="0" borderId="31" xfId="0" applyFont="1" applyBorder="1" applyAlignment="1">
      <alignment vertical="center" wrapText="1"/>
    </xf>
    <xf numFmtId="0" fontId="11" fillId="0" borderId="32" xfId="0" applyFont="1" applyBorder="1" applyAlignment="1">
      <alignment vertical="center" wrapText="1"/>
    </xf>
    <xf numFmtId="0" fontId="11" fillId="0" borderId="33" xfId="0" applyFont="1" applyBorder="1" applyAlignment="1">
      <alignment vertical="center" wrapText="1"/>
    </xf>
  </cellXfs>
  <cellStyles count="5">
    <cellStyle name="標準" xfId="0" builtinId="0"/>
    <cellStyle name="標準 2" xfId="1" xr:uid="{00000000-0005-0000-0000-000001000000}"/>
    <cellStyle name="標準 3" xfId="2" xr:uid="{23DC4711-2AD6-41B3-817F-C351B710E017}"/>
    <cellStyle name="標準 4" xfId="3" xr:uid="{B3914B1C-A4ED-4620-B9B6-E2452ECF1E97}"/>
    <cellStyle name="標準 5" xfId="4" xr:uid="{70912ECD-52FB-4C0B-B64B-13022BC1D6D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150495</xdr:colOff>
      <xdr:row>0</xdr:row>
      <xdr:rowOff>114300</xdr:rowOff>
    </xdr:from>
    <xdr:to>
      <xdr:col>27</xdr:col>
      <xdr:colOff>320040</xdr:colOff>
      <xdr:row>3</xdr:row>
      <xdr:rowOff>133350</xdr:rowOff>
    </xdr:to>
    <xdr:sp macro="" textlink="">
      <xdr:nvSpPr>
        <xdr:cNvPr id="2" name="Text Box 8">
          <a:extLst>
            <a:ext uri="{FF2B5EF4-FFF2-40B4-BE49-F238E27FC236}">
              <a16:creationId xmlns:a16="http://schemas.microsoft.com/office/drawing/2014/main" id="{45932611-FC33-44F5-87D8-1DB30CAC8800}"/>
            </a:ext>
          </a:extLst>
        </xdr:cNvPr>
        <xdr:cNvSpPr txBox="1">
          <a:spLocks noChangeArrowheads="1"/>
        </xdr:cNvSpPr>
      </xdr:nvSpPr>
      <xdr:spPr bwMode="auto">
        <a:xfrm>
          <a:off x="15600045" y="114300"/>
          <a:ext cx="4745355" cy="64389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rnd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ysDot"/>
          <a:miter lim="800000"/>
          <a:headEnd/>
          <a:tailEnd/>
        </a:ln>
        <a:effectLst/>
      </xdr:spPr>
      <xdr:txBody>
        <a:bodyPr vertOverflow="clip" wrap="square" lIns="108000" tIns="46800" rIns="90000" bIns="46800" anchor="t" upright="1"/>
        <a:lstStyle/>
        <a:p>
          <a:pPr algn="l" rtl="0">
            <a:defRPr sz="1000"/>
          </a:pPr>
          <a:r>
            <a:rPr lang="ja-JP" altLang="en-US" sz="800" b="1" i="0" u="sng" strike="noStrike" baseline="0">
              <a:solidFill>
                <a:srgbClr val="0000FF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完了テストケースのカウントについて</a:t>
          </a:r>
          <a:endParaRPr lang="ja-JP" altLang="en-US" sz="800" b="0" i="0" u="none" strike="noStrike" baseline="0">
            <a:solidFill>
              <a:srgbClr val="000000"/>
            </a:solidFill>
            <a:latin typeface="游ゴシック Medium" panose="020B0500000000000000" pitchFamily="50" charset="-128"/>
            <a:ea typeface="游ゴシック Medium" panose="020B0500000000000000" pitchFamily="50" charset="-128"/>
          </a:endParaRP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　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集計ツールでは、結果が ”</a:t>
          </a:r>
          <a:r>
            <a:rPr lang="ja-JP" altLang="en-US" sz="800" b="0" i="0" u="sng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合格</a:t>
          </a: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” で 完了日が記入されているテストケースを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完了テストケースとしてカウントしています。</a:t>
          </a:r>
        </a:p>
      </xdr:txBody>
    </xdr:sp>
    <xdr:clientData/>
  </xdr:twoCellAnchor>
  <xdr:twoCellAnchor>
    <xdr:from>
      <xdr:col>0</xdr:col>
      <xdr:colOff>140970</xdr:colOff>
      <xdr:row>4</xdr:row>
      <xdr:rowOff>38100</xdr:rowOff>
    </xdr:from>
    <xdr:to>
      <xdr:col>0</xdr:col>
      <xdr:colOff>215477</xdr:colOff>
      <xdr:row>4</xdr:row>
      <xdr:rowOff>114300</xdr:rowOff>
    </xdr:to>
    <xdr:sp macro="" textlink="">
      <xdr:nvSpPr>
        <xdr:cNvPr id="3" name="AutoShape 31">
          <a:extLst>
            <a:ext uri="{FF2B5EF4-FFF2-40B4-BE49-F238E27FC236}">
              <a16:creationId xmlns:a16="http://schemas.microsoft.com/office/drawing/2014/main" id="{4A6A7799-1C93-4341-BF46-1C8CC71F489D}"/>
            </a:ext>
          </a:extLst>
        </xdr:cNvPr>
        <xdr:cNvSpPr>
          <a:spLocks noChangeArrowheads="1"/>
        </xdr:cNvSpPr>
      </xdr:nvSpPr>
      <xdr:spPr bwMode="auto">
        <a:xfrm>
          <a:off x="139065" y="847725"/>
          <a:ext cx="72602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3</xdr:col>
      <xdr:colOff>148590</xdr:colOff>
      <xdr:row>4</xdr:row>
      <xdr:rowOff>47625</xdr:rowOff>
    </xdr:from>
    <xdr:to>
      <xdr:col>3</xdr:col>
      <xdr:colOff>232410</xdr:colOff>
      <xdr:row>4</xdr:row>
      <xdr:rowOff>123825</xdr:rowOff>
    </xdr:to>
    <xdr:sp macro="" textlink="">
      <xdr:nvSpPr>
        <xdr:cNvPr id="4" name="AutoShape 32">
          <a:extLst>
            <a:ext uri="{FF2B5EF4-FFF2-40B4-BE49-F238E27FC236}">
              <a16:creationId xmlns:a16="http://schemas.microsoft.com/office/drawing/2014/main" id="{22DF3C9E-3E7F-4BDE-868C-F78791B23D7F}"/>
            </a:ext>
          </a:extLst>
        </xdr:cNvPr>
        <xdr:cNvSpPr>
          <a:spLocks noChangeArrowheads="1"/>
        </xdr:cNvSpPr>
      </xdr:nvSpPr>
      <xdr:spPr bwMode="auto">
        <a:xfrm>
          <a:off x="1891665" y="859155"/>
          <a:ext cx="85725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7</xdr:col>
      <xdr:colOff>167640</xdr:colOff>
      <xdr:row>4</xdr:row>
      <xdr:rowOff>47625</xdr:rowOff>
    </xdr:from>
    <xdr:to>
      <xdr:col>7</xdr:col>
      <xdr:colOff>242147</xdr:colOff>
      <xdr:row>4</xdr:row>
      <xdr:rowOff>123825</xdr:rowOff>
    </xdr:to>
    <xdr:sp macro="" textlink="">
      <xdr:nvSpPr>
        <xdr:cNvPr id="5" name="AutoShape 33">
          <a:extLst>
            <a:ext uri="{FF2B5EF4-FFF2-40B4-BE49-F238E27FC236}">
              <a16:creationId xmlns:a16="http://schemas.microsoft.com/office/drawing/2014/main" id="{B95E9D35-4B99-4A56-BBEF-6B59565FB1EB}"/>
            </a:ext>
          </a:extLst>
        </xdr:cNvPr>
        <xdr:cNvSpPr>
          <a:spLocks noChangeArrowheads="1"/>
        </xdr:cNvSpPr>
      </xdr:nvSpPr>
      <xdr:spPr bwMode="auto">
        <a:xfrm>
          <a:off x="3714750" y="859155"/>
          <a:ext cx="74507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8</xdr:col>
      <xdr:colOff>1398270</xdr:colOff>
      <xdr:row>4</xdr:row>
      <xdr:rowOff>50452</xdr:rowOff>
    </xdr:from>
    <xdr:to>
      <xdr:col>8</xdr:col>
      <xdr:colOff>2377440</xdr:colOff>
      <xdr:row>4</xdr:row>
      <xdr:rowOff>380386</xdr:rowOff>
    </xdr:to>
    <xdr:grpSp>
      <xdr:nvGrpSpPr>
        <xdr:cNvPr id="6" name="Group 49">
          <a:extLst>
            <a:ext uri="{FF2B5EF4-FFF2-40B4-BE49-F238E27FC236}">
              <a16:creationId xmlns:a16="http://schemas.microsoft.com/office/drawing/2014/main" id="{5204528D-9BE7-48CF-A5E1-D336F16786F4}"/>
            </a:ext>
          </a:extLst>
        </xdr:cNvPr>
        <xdr:cNvGrpSpPr>
          <a:grpSpLocks/>
        </xdr:cNvGrpSpPr>
      </xdr:nvGrpSpPr>
      <xdr:grpSpPr bwMode="auto">
        <a:xfrm>
          <a:off x="4979670" y="879127"/>
          <a:ext cx="979170" cy="329934"/>
          <a:chOff x="530" y="53"/>
          <a:chExt cx="103" cy="36"/>
        </a:xfrm>
      </xdr:grpSpPr>
      <xdr:sp macro="" textlink="">
        <xdr:nvSpPr>
          <xdr:cNvPr id="7" name="Text Box 37">
            <a:extLst>
              <a:ext uri="{FF2B5EF4-FFF2-40B4-BE49-F238E27FC236}">
                <a16:creationId xmlns:a16="http://schemas.microsoft.com/office/drawing/2014/main" id="{47C44809-AAB5-A2C2-BD29-7571C18E5FAE}"/>
              </a:ext>
            </a:extLst>
          </xdr:cNvPr>
          <xdr:cNvSpPr txBox="1">
            <a:spLocks noChangeArrowheads="1"/>
          </xdr:cNvSpPr>
        </xdr:nvSpPr>
        <xdr:spPr bwMode="auto">
          <a:xfrm>
            <a:off x="530" y="53"/>
            <a:ext cx="103" cy="36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CC99" mc:Ignorable="a14" a14:legacySpreadsheetColorIndex="47"/>
          </a:solidFill>
          <a:ln w="9525" cap="rnd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ysDot"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800" b="1" i="0" u="none" strike="noStrike" baseline="0">
                <a:solidFill>
                  <a:srgbClr val="0000FF"/>
                </a:solidFill>
                <a:latin typeface="游ゴシック Medium" panose="020B0500000000000000" pitchFamily="50" charset="-128"/>
                <a:ea typeface="游ゴシック Medium" panose="020B0500000000000000" pitchFamily="50" charset="-128"/>
              </a:rPr>
              <a:t>    印：集計ツール</a:t>
            </a:r>
          </a:p>
          <a:p>
            <a:pPr algn="l" rtl="0">
              <a:lnSpc>
                <a:spcPts val="900"/>
              </a:lnSpc>
              <a:defRPr sz="1000"/>
            </a:pPr>
            <a:r>
              <a:rPr lang="ja-JP" altLang="en-US" sz="800" b="1" i="0" u="none" strike="noStrike" baseline="0">
                <a:solidFill>
                  <a:srgbClr val="0000FF"/>
                </a:solidFill>
                <a:latin typeface="游ゴシック Medium" panose="020B0500000000000000" pitchFamily="50" charset="-128"/>
                <a:ea typeface="游ゴシック Medium" panose="020B0500000000000000" pitchFamily="50" charset="-128"/>
              </a:rPr>
              <a:t>　  　 の必須項目</a:t>
            </a:r>
          </a:p>
        </xdr:txBody>
      </xdr:sp>
      <xdr:sp macro="" textlink="">
        <xdr:nvSpPr>
          <xdr:cNvPr id="8" name="AutoShape 38">
            <a:extLst>
              <a:ext uri="{FF2B5EF4-FFF2-40B4-BE49-F238E27FC236}">
                <a16:creationId xmlns:a16="http://schemas.microsoft.com/office/drawing/2014/main" id="{637AE310-6FCA-6659-BE5D-7E0BEACEDEF8}"/>
              </a:ext>
            </a:extLst>
          </xdr:cNvPr>
          <xdr:cNvSpPr>
            <a:spLocks noChangeArrowheads="1"/>
          </xdr:cNvSpPr>
        </xdr:nvSpPr>
        <xdr:spPr bwMode="auto">
          <a:xfrm>
            <a:off x="535" y="59"/>
            <a:ext cx="8" cy="8"/>
          </a:xfrm>
          <a:prstGeom prst="star5">
            <a:avLst/>
          </a:prstGeom>
          <a:solidFill>
            <a:srgbClr xmlns:mc="http://schemas.openxmlformats.org/markup-compatibility/2006" xmlns:a14="http://schemas.microsoft.com/office/drawing/2010/main" val="FF6600" mc:Ignorable="a14" a14:legacySpreadsheetColorIndex="53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C</a:t>
            </a:r>
          </a:p>
        </xdr:txBody>
      </xdr:sp>
    </xdr:grpSp>
    <xdr:clientData/>
  </xdr:twoCellAnchor>
  <xdr:twoCellAnchor>
    <xdr:from>
      <xdr:col>10</xdr:col>
      <xdr:colOff>354330</xdr:colOff>
      <xdr:row>4</xdr:row>
      <xdr:rowOff>47625</xdr:rowOff>
    </xdr:from>
    <xdr:to>
      <xdr:col>10</xdr:col>
      <xdr:colOff>428353</xdr:colOff>
      <xdr:row>4</xdr:row>
      <xdr:rowOff>123825</xdr:rowOff>
    </xdr:to>
    <xdr:sp macro="" textlink="">
      <xdr:nvSpPr>
        <xdr:cNvPr id="9" name="AutoShape 52">
          <a:extLst>
            <a:ext uri="{FF2B5EF4-FFF2-40B4-BE49-F238E27FC236}">
              <a16:creationId xmlns:a16="http://schemas.microsoft.com/office/drawing/2014/main" id="{7A767AE0-BC6B-4531-8E2E-759A5B469BF4}"/>
            </a:ext>
          </a:extLst>
        </xdr:cNvPr>
        <xdr:cNvSpPr>
          <a:spLocks noChangeArrowheads="1"/>
        </xdr:cNvSpPr>
      </xdr:nvSpPr>
      <xdr:spPr bwMode="auto">
        <a:xfrm>
          <a:off x="10102215" y="859155"/>
          <a:ext cx="72118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150495</xdr:colOff>
      <xdr:row>0</xdr:row>
      <xdr:rowOff>114300</xdr:rowOff>
    </xdr:from>
    <xdr:to>
      <xdr:col>27</xdr:col>
      <xdr:colOff>320040</xdr:colOff>
      <xdr:row>3</xdr:row>
      <xdr:rowOff>133350</xdr:rowOff>
    </xdr:to>
    <xdr:sp macro="" textlink="">
      <xdr:nvSpPr>
        <xdr:cNvPr id="2" name="Text Box 8">
          <a:extLst>
            <a:ext uri="{FF2B5EF4-FFF2-40B4-BE49-F238E27FC236}">
              <a16:creationId xmlns:a16="http://schemas.microsoft.com/office/drawing/2014/main" id="{B268BBA9-89A3-4FDF-87B2-8CA7B1EF34B1}"/>
            </a:ext>
          </a:extLst>
        </xdr:cNvPr>
        <xdr:cNvSpPr txBox="1">
          <a:spLocks noChangeArrowheads="1"/>
        </xdr:cNvSpPr>
      </xdr:nvSpPr>
      <xdr:spPr bwMode="auto">
        <a:xfrm>
          <a:off x="17343120" y="114300"/>
          <a:ext cx="4436745" cy="6477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rnd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ysDot"/>
          <a:miter lim="800000"/>
          <a:headEnd/>
          <a:tailEnd/>
        </a:ln>
        <a:effectLst/>
      </xdr:spPr>
      <xdr:txBody>
        <a:bodyPr vertOverflow="clip" wrap="square" lIns="108000" tIns="46800" rIns="90000" bIns="46800" anchor="t" upright="1"/>
        <a:lstStyle/>
        <a:p>
          <a:pPr algn="l" rtl="0">
            <a:defRPr sz="1000"/>
          </a:pPr>
          <a:r>
            <a:rPr lang="ja-JP" altLang="en-US" sz="800" b="1" i="0" u="sng" strike="noStrike" baseline="0">
              <a:solidFill>
                <a:srgbClr val="0000FF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完了テストケースのカウントについて</a:t>
          </a:r>
          <a:endParaRPr lang="ja-JP" altLang="en-US" sz="800" b="0" i="0" u="none" strike="noStrike" baseline="0">
            <a:solidFill>
              <a:srgbClr val="000000"/>
            </a:solidFill>
            <a:latin typeface="游ゴシック Medium" panose="020B0500000000000000" pitchFamily="50" charset="-128"/>
            <a:ea typeface="游ゴシック Medium" panose="020B0500000000000000" pitchFamily="50" charset="-128"/>
          </a:endParaRP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　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集計ツールでは、結果が ”</a:t>
          </a:r>
          <a:r>
            <a:rPr lang="ja-JP" altLang="en-US" sz="800" b="0" i="0" u="sng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合格</a:t>
          </a: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” で 完了日が記入されているテストケースを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完了テストケースとしてカウントしています。</a:t>
          </a:r>
        </a:p>
      </xdr:txBody>
    </xdr:sp>
    <xdr:clientData/>
  </xdr:twoCellAnchor>
  <xdr:twoCellAnchor>
    <xdr:from>
      <xdr:col>0</xdr:col>
      <xdr:colOff>140970</xdr:colOff>
      <xdr:row>4</xdr:row>
      <xdr:rowOff>38100</xdr:rowOff>
    </xdr:from>
    <xdr:to>
      <xdr:col>0</xdr:col>
      <xdr:colOff>215477</xdr:colOff>
      <xdr:row>4</xdr:row>
      <xdr:rowOff>114300</xdr:rowOff>
    </xdr:to>
    <xdr:sp macro="" textlink="">
      <xdr:nvSpPr>
        <xdr:cNvPr id="3" name="AutoShape 31">
          <a:extLst>
            <a:ext uri="{FF2B5EF4-FFF2-40B4-BE49-F238E27FC236}">
              <a16:creationId xmlns:a16="http://schemas.microsoft.com/office/drawing/2014/main" id="{5CC542B3-D180-4005-B7FC-2265800D3BAB}"/>
            </a:ext>
          </a:extLst>
        </xdr:cNvPr>
        <xdr:cNvSpPr>
          <a:spLocks noChangeArrowheads="1"/>
        </xdr:cNvSpPr>
      </xdr:nvSpPr>
      <xdr:spPr bwMode="auto">
        <a:xfrm>
          <a:off x="140970" y="866775"/>
          <a:ext cx="74507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3</xdr:col>
      <xdr:colOff>148590</xdr:colOff>
      <xdr:row>4</xdr:row>
      <xdr:rowOff>47625</xdr:rowOff>
    </xdr:from>
    <xdr:to>
      <xdr:col>3</xdr:col>
      <xdr:colOff>232410</xdr:colOff>
      <xdr:row>4</xdr:row>
      <xdr:rowOff>123825</xdr:rowOff>
    </xdr:to>
    <xdr:sp macro="" textlink="">
      <xdr:nvSpPr>
        <xdr:cNvPr id="4" name="AutoShape 32">
          <a:extLst>
            <a:ext uri="{FF2B5EF4-FFF2-40B4-BE49-F238E27FC236}">
              <a16:creationId xmlns:a16="http://schemas.microsoft.com/office/drawing/2014/main" id="{6DFBF820-394D-45DD-AE9B-D47C1B45AE7C}"/>
            </a:ext>
          </a:extLst>
        </xdr:cNvPr>
        <xdr:cNvSpPr>
          <a:spLocks noChangeArrowheads="1"/>
        </xdr:cNvSpPr>
      </xdr:nvSpPr>
      <xdr:spPr bwMode="auto">
        <a:xfrm>
          <a:off x="1777365" y="876300"/>
          <a:ext cx="83820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7</xdr:col>
      <xdr:colOff>167640</xdr:colOff>
      <xdr:row>4</xdr:row>
      <xdr:rowOff>47625</xdr:rowOff>
    </xdr:from>
    <xdr:to>
      <xdr:col>7</xdr:col>
      <xdr:colOff>242147</xdr:colOff>
      <xdr:row>4</xdr:row>
      <xdr:rowOff>123825</xdr:rowOff>
    </xdr:to>
    <xdr:sp macro="" textlink="">
      <xdr:nvSpPr>
        <xdr:cNvPr id="5" name="AutoShape 33">
          <a:extLst>
            <a:ext uri="{FF2B5EF4-FFF2-40B4-BE49-F238E27FC236}">
              <a16:creationId xmlns:a16="http://schemas.microsoft.com/office/drawing/2014/main" id="{DDFE9222-AF31-4BD7-AEBB-A7EFD8C7D2AE}"/>
            </a:ext>
          </a:extLst>
        </xdr:cNvPr>
        <xdr:cNvSpPr>
          <a:spLocks noChangeArrowheads="1"/>
        </xdr:cNvSpPr>
      </xdr:nvSpPr>
      <xdr:spPr bwMode="auto">
        <a:xfrm>
          <a:off x="3472815" y="876300"/>
          <a:ext cx="74507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8</xdr:col>
      <xdr:colOff>1398270</xdr:colOff>
      <xdr:row>4</xdr:row>
      <xdr:rowOff>50452</xdr:rowOff>
    </xdr:from>
    <xdr:to>
      <xdr:col>8</xdr:col>
      <xdr:colOff>2377440</xdr:colOff>
      <xdr:row>4</xdr:row>
      <xdr:rowOff>380386</xdr:rowOff>
    </xdr:to>
    <xdr:grpSp>
      <xdr:nvGrpSpPr>
        <xdr:cNvPr id="6" name="Group 49">
          <a:extLst>
            <a:ext uri="{FF2B5EF4-FFF2-40B4-BE49-F238E27FC236}">
              <a16:creationId xmlns:a16="http://schemas.microsoft.com/office/drawing/2014/main" id="{3191B54A-8E04-47F5-BE8A-B59E290AA8D9}"/>
            </a:ext>
          </a:extLst>
        </xdr:cNvPr>
        <xdr:cNvGrpSpPr>
          <a:grpSpLocks/>
        </xdr:cNvGrpSpPr>
      </xdr:nvGrpSpPr>
      <xdr:grpSpPr bwMode="auto">
        <a:xfrm>
          <a:off x="4979670" y="879127"/>
          <a:ext cx="979170" cy="329934"/>
          <a:chOff x="530" y="53"/>
          <a:chExt cx="103" cy="36"/>
        </a:xfrm>
      </xdr:grpSpPr>
      <xdr:sp macro="" textlink="">
        <xdr:nvSpPr>
          <xdr:cNvPr id="7" name="Text Box 37">
            <a:extLst>
              <a:ext uri="{FF2B5EF4-FFF2-40B4-BE49-F238E27FC236}">
                <a16:creationId xmlns:a16="http://schemas.microsoft.com/office/drawing/2014/main" id="{9F4CC0CE-1F49-1439-097A-7C5443523BD2}"/>
              </a:ext>
            </a:extLst>
          </xdr:cNvPr>
          <xdr:cNvSpPr txBox="1">
            <a:spLocks noChangeArrowheads="1"/>
          </xdr:cNvSpPr>
        </xdr:nvSpPr>
        <xdr:spPr bwMode="auto">
          <a:xfrm>
            <a:off x="530" y="53"/>
            <a:ext cx="103" cy="36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CC99" mc:Ignorable="a14" a14:legacySpreadsheetColorIndex="47"/>
          </a:solidFill>
          <a:ln w="9525" cap="rnd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ysDot"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800" b="1" i="0" u="none" strike="noStrike" baseline="0">
                <a:solidFill>
                  <a:srgbClr val="0000FF"/>
                </a:solidFill>
                <a:latin typeface="游ゴシック Medium" panose="020B0500000000000000" pitchFamily="50" charset="-128"/>
                <a:ea typeface="游ゴシック Medium" panose="020B0500000000000000" pitchFamily="50" charset="-128"/>
              </a:rPr>
              <a:t>    印：集計ツール</a:t>
            </a:r>
          </a:p>
          <a:p>
            <a:pPr algn="l" rtl="0">
              <a:lnSpc>
                <a:spcPts val="900"/>
              </a:lnSpc>
              <a:defRPr sz="1000"/>
            </a:pPr>
            <a:r>
              <a:rPr lang="ja-JP" altLang="en-US" sz="800" b="1" i="0" u="none" strike="noStrike" baseline="0">
                <a:solidFill>
                  <a:srgbClr val="0000FF"/>
                </a:solidFill>
                <a:latin typeface="游ゴシック Medium" panose="020B0500000000000000" pitchFamily="50" charset="-128"/>
                <a:ea typeface="游ゴシック Medium" panose="020B0500000000000000" pitchFamily="50" charset="-128"/>
              </a:rPr>
              <a:t>　  　 の必須項目</a:t>
            </a:r>
          </a:p>
        </xdr:txBody>
      </xdr:sp>
      <xdr:sp macro="" textlink="">
        <xdr:nvSpPr>
          <xdr:cNvPr id="8" name="AutoShape 38">
            <a:extLst>
              <a:ext uri="{FF2B5EF4-FFF2-40B4-BE49-F238E27FC236}">
                <a16:creationId xmlns:a16="http://schemas.microsoft.com/office/drawing/2014/main" id="{C3B84D29-A322-485F-16A6-EC8617428A4A}"/>
              </a:ext>
            </a:extLst>
          </xdr:cNvPr>
          <xdr:cNvSpPr>
            <a:spLocks noChangeArrowheads="1"/>
          </xdr:cNvSpPr>
        </xdr:nvSpPr>
        <xdr:spPr bwMode="auto">
          <a:xfrm>
            <a:off x="535" y="59"/>
            <a:ext cx="8" cy="8"/>
          </a:xfrm>
          <a:prstGeom prst="star5">
            <a:avLst/>
          </a:prstGeom>
          <a:solidFill>
            <a:srgbClr xmlns:mc="http://schemas.openxmlformats.org/markup-compatibility/2006" xmlns:a14="http://schemas.microsoft.com/office/drawing/2010/main" val="FF6600" mc:Ignorable="a14" a14:legacySpreadsheetColorIndex="53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C</a:t>
            </a:r>
          </a:p>
        </xdr:txBody>
      </xdr:sp>
    </xdr:grpSp>
    <xdr:clientData/>
  </xdr:twoCellAnchor>
  <xdr:twoCellAnchor>
    <xdr:from>
      <xdr:col>10</xdr:col>
      <xdr:colOff>354330</xdr:colOff>
      <xdr:row>4</xdr:row>
      <xdr:rowOff>47625</xdr:rowOff>
    </xdr:from>
    <xdr:to>
      <xdr:col>10</xdr:col>
      <xdr:colOff>428353</xdr:colOff>
      <xdr:row>4</xdr:row>
      <xdr:rowOff>123825</xdr:rowOff>
    </xdr:to>
    <xdr:sp macro="" textlink="">
      <xdr:nvSpPr>
        <xdr:cNvPr id="9" name="AutoShape 52">
          <a:extLst>
            <a:ext uri="{FF2B5EF4-FFF2-40B4-BE49-F238E27FC236}">
              <a16:creationId xmlns:a16="http://schemas.microsoft.com/office/drawing/2014/main" id="{0A7DC08D-D95B-464F-A2FA-C5A5CFC355BC}"/>
            </a:ext>
          </a:extLst>
        </xdr:cNvPr>
        <xdr:cNvSpPr>
          <a:spLocks noChangeArrowheads="1"/>
        </xdr:cNvSpPr>
      </xdr:nvSpPr>
      <xdr:spPr bwMode="auto">
        <a:xfrm>
          <a:off x="12193905" y="876300"/>
          <a:ext cx="74023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150495</xdr:colOff>
      <xdr:row>0</xdr:row>
      <xdr:rowOff>114300</xdr:rowOff>
    </xdr:from>
    <xdr:to>
      <xdr:col>27</xdr:col>
      <xdr:colOff>320040</xdr:colOff>
      <xdr:row>3</xdr:row>
      <xdr:rowOff>133350</xdr:rowOff>
    </xdr:to>
    <xdr:sp macro="" textlink="">
      <xdr:nvSpPr>
        <xdr:cNvPr id="2" name="Text Box 8">
          <a:extLst>
            <a:ext uri="{FF2B5EF4-FFF2-40B4-BE49-F238E27FC236}">
              <a16:creationId xmlns:a16="http://schemas.microsoft.com/office/drawing/2014/main" id="{F1383D86-CD83-49F4-891D-F887715FE0F4}"/>
            </a:ext>
          </a:extLst>
        </xdr:cNvPr>
        <xdr:cNvSpPr txBox="1">
          <a:spLocks noChangeArrowheads="1"/>
        </xdr:cNvSpPr>
      </xdr:nvSpPr>
      <xdr:spPr bwMode="auto">
        <a:xfrm>
          <a:off x="17343120" y="114300"/>
          <a:ext cx="4436745" cy="6477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rnd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ysDot"/>
          <a:miter lim="800000"/>
          <a:headEnd/>
          <a:tailEnd/>
        </a:ln>
        <a:effectLst/>
      </xdr:spPr>
      <xdr:txBody>
        <a:bodyPr vertOverflow="clip" wrap="square" lIns="108000" tIns="46800" rIns="90000" bIns="46800" anchor="t" upright="1"/>
        <a:lstStyle/>
        <a:p>
          <a:pPr algn="l" rtl="0">
            <a:defRPr sz="1000"/>
          </a:pPr>
          <a:r>
            <a:rPr lang="ja-JP" altLang="en-US" sz="800" b="1" i="0" u="sng" strike="noStrike" baseline="0">
              <a:solidFill>
                <a:srgbClr val="0000FF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完了テストケースのカウントについて</a:t>
          </a:r>
          <a:endParaRPr lang="ja-JP" altLang="en-US" sz="800" b="0" i="0" u="none" strike="noStrike" baseline="0">
            <a:solidFill>
              <a:srgbClr val="000000"/>
            </a:solidFill>
            <a:latin typeface="游ゴシック Medium" panose="020B0500000000000000" pitchFamily="50" charset="-128"/>
            <a:ea typeface="游ゴシック Medium" panose="020B0500000000000000" pitchFamily="50" charset="-128"/>
          </a:endParaRP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　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集計ツールでは、結果が ”</a:t>
          </a:r>
          <a:r>
            <a:rPr lang="ja-JP" altLang="en-US" sz="800" b="0" i="0" u="sng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合格</a:t>
          </a: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” で 完了日が記入されているテストケースを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完了テストケースとしてカウントしています。</a:t>
          </a:r>
        </a:p>
      </xdr:txBody>
    </xdr:sp>
    <xdr:clientData/>
  </xdr:twoCellAnchor>
  <xdr:twoCellAnchor>
    <xdr:from>
      <xdr:col>0</xdr:col>
      <xdr:colOff>140970</xdr:colOff>
      <xdr:row>4</xdr:row>
      <xdr:rowOff>38100</xdr:rowOff>
    </xdr:from>
    <xdr:to>
      <xdr:col>0</xdr:col>
      <xdr:colOff>215477</xdr:colOff>
      <xdr:row>4</xdr:row>
      <xdr:rowOff>114300</xdr:rowOff>
    </xdr:to>
    <xdr:sp macro="" textlink="">
      <xdr:nvSpPr>
        <xdr:cNvPr id="3" name="AutoShape 31">
          <a:extLst>
            <a:ext uri="{FF2B5EF4-FFF2-40B4-BE49-F238E27FC236}">
              <a16:creationId xmlns:a16="http://schemas.microsoft.com/office/drawing/2014/main" id="{4EA91716-B63C-4A1E-B7B1-81B04ED41237}"/>
            </a:ext>
          </a:extLst>
        </xdr:cNvPr>
        <xdr:cNvSpPr>
          <a:spLocks noChangeArrowheads="1"/>
        </xdr:cNvSpPr>
      </xdr:nvSpPr>
      <xdr:spPr bwMode="auto">
        <a:xfrm>
          <a:off x="140970" y="866775"/>
          <a:ext cx="74507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3</xdr:col>
      <xdr:colOff>148590</xdr:colOff>
      <xdr:row>4</xdr:row>
      <xdr:rowOff>47625</xdr:rowOff>
    </xdr:from>
    <xdr:to>
      <xdr:col>3</xdr:col>
      <xdr:colOff>232410</xdr:colOff>
      <xdr:row>4</xdr:row>
      <xdr:rowOff>123825</xdr:rowOff>
    </xdr:to>
    <xdr:sp macro="" textlink="">
      <xdr:nvSpPr>
        <xdr:cNvPr id="4" name="AutoShape 32">
          <a:extLst>
            <a:ext uri="{FF2B5EF4-FFF2-40B4-BE49-F238E27FC236}">
              <a16:creationId xmlns:a16="http://schemas.microsoft.com/office/drawing/2014/main" id="{F4494975-B000-4406-ADC0-15EA05C1C624}"/>
            </a:ext>
          </a:extLst>
        </xdr:cNvPr>
        <xdr:cNvSpPr>
          <a:spLocks noChangeArrowheads="1"/>
        </xdr:cNvSpPr>
      </xdr:nvSpPr>
      <xdr:spPr bwMode="auto">
        <a:xfrm>
          <a:off x="1777365" y="876300"/>
          <a:ext cx="83820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7</xdr:col>
      <xdr:colOff>167640</xdr:colOff>
      <xdr:row>4</xdr:row>
      <xdr:rowOff>47625</xdr:rowOff>
    </xdr:from>
    <xdr:to>
      <xdr:col>7</xdr:col>
      <xdr:colOff>242147</xdr:colOff>
      <xdr:row>4</xdr:row>
      <xdr:rowOff>123825</xdr:rowOff>
    </xdr:to>
    <xdr:sp macro="" textlink="">
      <xdr:nvSpPr>
        <xdr:cNvPr id="5" name="AutoShape 33">
          <a:extLst>
            <a:ext uri="{FF2B5EF4-FFF2-40B4-BE49-F238E27FC236}">
              <a16:creationId xmlns:a16="http://schemas.microsoft.com/office/drawing/2014/main" id="{FA497AFD-27D0-4AE3-8EE6-5345E49F04A2}"/>
            </a:ext>
          </a:extLst>
        </xdr:cNvPr>
        <xdr:cNvSpPr>
          <a:spLocks noChangeArrowheads="1"/>
        </xdr:cNvSpPr>
      </xdr:nvSpPr>
      <xdr:spPr bwMode="auto">
        <a:xfrm>
          <a:off x="3472815" y="876300"/>
          <a:ext cx="74507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8</xdr:col>
      <xdr:colOff>1398270</xdr:colOff>
      <xdr:row>4</xdr:row>
      <xdr:rowOff>50452</xdr:rowOff>
    </xdr:from>
    <xdr:to>
      <xdr:col>8</xdr:col>
      <xdr:colOff>2377440</xdr:colOff>
      <xdr:row>4</xdr:row>
      <xdr:rowOff>380386</xdr:rowOff>
    </xdr:to>
    <xdr:grpSp>
      <xdr:nvGrpSpPr>
        <xdr:cNvPr id="6" name="Group 49">
          <a:extLst>
            <a:ext uri="{FF2B5EF4-FFF2-40B4-BE49-F238E27FC236}">
              <a16:creationId xmlns:a16="http://schemas.microsoft.com/office/drawing/2014/main" id="{68521BE4-4D87-4A53-A3A3-9C1DD9B1D930}"/>
            </a:ext>
          </a:extLst>
        </xdr:cNvPr>
        <xdr:cNvGrpSpPr>
          <a:grpSpLocks/>
        </xdr:cNvGrpSpPr>
      </xdr:nvGrpSpPr>
      <xdr:grpSpPr bwMode="auto">
        <a:xfrm>
          <a:off x="4979670" y="879127"/>
          <a:ext cx="979170" cy="329934"/>
          <a:chOff x="530" y="53"/>
          <a:chExt cx="103" cy="36"/>
        </a:xfrm>
      </xdr:grpSpPr>
      <xdr:sp macro="" textlink="">
        <xdr:nvSpPr>
          <xdr:cNvPr id="7" name="Text Box 37">
            <a:extLst>
              <a:ext uri="{FF2B5EF4-FFF2-40B4-BE49-F238E27FC236}">
                <a16:creationId xmlns:a16="http://schemas.microsoft.com/office/drawing/2014/main" id="{1028824A-B5A8-D167-1E09-AE83649C61D9}"/>
              </a:ext>
            </a:extLst>
          </xdr:cNvPr>
          <xdr:cNvSpPr txBox="1">
            <a:spLocks noChangeArrowheads="1"/>
          </xdr:cNvSpPr>
        </xdr:nvSpPr>
        <xdr:spPr bwMode="auto">
          <a:xfrm>
            <a:off x="530" y="53"/>
            <a:ext cx="103" cy="36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CC99" mc:Ignorable="a14" a14:legacySpreadsheetColorIndex="47"/>
          </a:solidFill>
          <a:ln w="9525" cap="rnd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ysDot"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800" b="1" i="0" u="none" strike="noStrike" baseline="0">
                <a:solidFill>
                  <a:srgbClr val="0000FF"/>
                </a:solidFill>
                <a:latin typeface="游ゴシック Medium" panose="020B0500000000000000" pitchFamily="50" charset="-128"/>
                <a:ea typeface="游ゴシック Medium" panose="020B0500000000000000" pitchFamily="50" charset="-128"/>
              </a:rPr>
              <a:t>    印：集計ツール</a:t>
            </a:r>
          </a:p>
          <a:p>
            <a:pPr algn="l" rtl="0">
              <a:lnSpc>
                <a:spcPts val="900"/>
              </a:lnSpc>
              <a:defRPr sz="1000"/>
            </a:pPr>
            <a:r>
              <a:rPr lang="ja-JP" altLang="en-US" sz="800" b="1" i="0" u="none" strike="noStrike" baseline="0">
                <a:solidFill>
                  <a:srgbClr val="0000FF"/>
                </a:solidFill>
                <a:latin typeface="游ゴシック Medium" panose="020B0500000000000000" pitchFamily="50" charset="-128"/>
                <a:ea typeface="游ゴシック Medium" panose="020B0500000000000000" pitchFamily="50" charset="-128"/>
              </a:rPr>
              <a:t>　  　 の必須項目</a:t>
            </a:r>
          </a:p>
        </xdr:txBody>
      </xdr:sp>
      <xdr:sp macro="" textlink="">
        <xdr:nvSpPr>
          <xdr:cNvPr id="8" name="AutoShape 38">
            <a:extLst>
              <a:ext uri="{FF2B5EF4-FFF2-40B4-BE49-F238E27FC236}">
                <a16:creationId xmlns:a16="http://schemas.microsoft.com/office/drawing/2014/main" id="{9BDFA6F7-465C-ACD0-19B8-84DA3A5323AE}"/>
              </a:ext>
            </a:extLst>
          </xdr:cNvPr>
          <xdr:cNvSpPr>
            <a:spLocks noChangeArrowheads="1"/>
          </xdr:cNvSpPr>
        </xdr:nvSpPr>
        <xdr:spPr bwMode="auto">
          <a:xfrm>
            <a:off x="535" y="59"/>
            <a:ext cx="8" cy="8"/>
          </a:xfrm>
          <a:prstGeom prst="star5">
            <a:avLst/>
          </a:prstGeom>
          <a:solidFill>
            <a:srgbClr xmlns:mc="http://schemas.openxmlformats.org/markup-compatibility/2006" xmlns:a14="http://schemas.microsoft.com/office/drawing/2010/main" val="FF6600" mc:Ignorable="a14" a14:legacySpreadsheetColorIndex="53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C</a:t>
            </a:r>
          </a:p>
        </xdr:txBody>
      </xdr:sp>
    </xdr:grpSp>
    <xdr:clientData/>
  </xdr:twoCellAnchor>
  <xdr:twoCellAnchor>
    <xdr:from>
      <xdr:col>10</xdr:col>
      <xdr:colOff>354330</xdr:colOff>
      <xdr:row>4</xdr:row>
      <xdr:rowOff>47625</xdr:rowOff>
    </xdr:from>
    <xdr:to>
      <xdr:col>10</xdr:col>
      <xdr:colOff>428353</xdr:colOff>
      <xdr:row>4</xdr:row>
      <xdr:rowOff>123825</xdr:rowOff>
    </xdr:to>
    <xdr:sp macro="" textlink="">
      <xdr:nvSpPr>
        <xdr:cNvPr id="9" name="AutoShape 52">
          <a:extLst>
            <a:ext uri="{FF2B5EF4-FFF2-40B4-BE49-F238E27FC236}">
              <a16:creationId xmlns:a16="http://schemas.microsoft.com/office/drawing/2014/main" id="{5E111644-24B5-410C-8721-9684B0953257}"/>
            </a:ext>
          </a:extLst>
        </xdr:cNvPr>
        <xdr:cNvSpPr>
          <a:spLocks noChangeArrowheads="1"/>
        </xdr:cNvSpPr>
      </xdr:nvSpPr>
      <xdr:spPr bwMode="auto">
        <a:xfrm>
          <a:off x="12193905" y="876300"/>
          <a:ext cx="74023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73E97-3118-4E55-90E1-2210478D8A55}">
  <sheetPr>
    <pageSetUpPr fitToPage="1"/>
  </sheetPr>
  <dimension ref="A1:S108"/>
  <sheetViews>
    <sheetView showGridLines="0" topLeftCell="A86" workbookViewId="0">
      <selection activeCell="I68" sqref="I68:J71"/>
    </sheetView>
  </sheetViews>
  <sheetFormatPr defaultColWidth="9.33203125" defaultRowHeight="15.75"/>
  <cols>
    <col min="1" max="1" width="4.83203125" style="8" customWidth="1"/>
    <col min="2" max="2" width="6.83203125" style="8" customWidth="1"/>
    <col min="3" max="3" width="16.83203125" style="8" customWidth="1"/>
    <col min="4" max="4" width="4.83203125" style="8" customWidth="1"/>
    <col min="5" max="6" width="5.83203125" style="8" customWidth="1"/>
    <col min="7" max="7" width="12.83203125" style="8" customWidth="1"/>
    <col min="8" max="8" width="4.83203125" style="8" customWidth="1"/>
    <col min="9" max="9" width="50.83203125" style="8" customWidth="1"/>
    <col min="10" max="10" width="93.6640625" style="8" customWidth="1"/>
    <col min="11" max="12" width="7.83203125" style="8" customWidth="1"/>
    <col min="13" max="13" width="7.33203125" style="8" customWidth="1"/>
    <col min="14" max="15" width="7.83203125" style="8" customWidth="1"/>
    <col min="16" max="16" width="29.5" style="8" customWidth="1"/>
    <col min="17" max="17" width="9.83203125" style="8" customWidth="1"/>
    <col min="18" max="19" width="7.83203125" style="8" customWidth="1"/>
    <col min="20" max="16384" width="9.33203125" style="8"/>
  </cols>
  <sheetData>
    <row r="1" spans="1:19" ht="16.5">
      <c r="A1" s="60" t="s">
        <v>0</v>
      </c>
      <c r="B1" s="61"/>
      <c r="C1" s="1" t="s">
        <v>1</v>
      </c>
      <c r="D1" s="2"/>
      <c r="E1" s="62" t="s">
        <v>2</v>
      </c>
      <c r="F1" s="63"/>
      <c r="G1" s="64" t="s">
        <v>3</v>
      </c>
      <c r="H1" s="65"/>
      <c r="I1" s="61"/>
      <c r="J1" s="3"/>
      <c r="K1" s="4"/>
      <c r="L1" s="4"/>
      <c r="M1" s="5"/>
      <c r="N1" s="6"/>
      <c r="O1" s="7" t="s">
        <v>4</v>
      </c>
      <c r="P1" s="64" t="s">
        <v>5</v>
      </c>
      <c r="Q1" s="61"/>
      <c r="R1" s="55">
        <v>46153</v>
      </c>
      <c r="S1" s="56"/>
    </row>
    <row r="2" spans="1:19" ht="16.5">
      <c r="A2" s="60" t="s">
        <v>6</v>
      </c>
      <c r="B2" s="61"/>
      <c r="C2" s="1"/>
      <c r="D2" s="2"/>
      <c r="E2" s="66" t="s">
        <v>7</v>
      </c>
      <c r="F2" s="67"/>
      <c r="G2" s="70" t="s">
        <v>8</v>
      </c>
      <c r="H2" s="71"/>
      <c r="I2" s="72"/>
      <c r="J2" s="9"/>
      <c r="K2" s="10"/>
      <c r="L2" s="10"/>
      <c r="M2" s="11"/>
      <c r="N2" s="12"/>
      <c r="O2" s="7" t="s">
        <v>9</v>
      </c>
      <c r="P2" s="64"/>
      <c r="Q2" s="61"/>
      <c r="R2" s="55" t="s">
        <v>10</v>
      </c>
      <c r="S2" s="56"/>
    </row>
    <row r="3" spans="1:19" ht="16.5">
      <c r="A3" s="60" t="s">
        <v>11</v>
      </c>
      <c r="B3" s="61"/>
      <c r="C3" s="1" t="s">
        <v>12</v>
      </c>
      <c r="D3" s="2"/>
      <c r="E3" s="68"/>
      <c r="F3" s="69"/>
      <c r="G3" s="68"/>
      <c r="H3" s="73"/>
      <c r="I3" s="74"/>
      <c r="J3" s="13"/>
      <c r="K3" s="14"/>
      <c r="L3" s="14"/>
      <c r="M3" s="15"/>
      <c r="N3" s="16"/>
      <c r="O3" s="7" t="s">
        <v>13</v>
      </c>
      <c r="P3" s="64"/>
      <c r="Q3" s="61"/>
      <c r="R3" s="55" t="s">
        <v>10</v>
      </c>
      <c r="S3" s="56"/>
    </row>
    <row r="4" spans="1:19">
      <c r="A4" s="17" t="s">
        <v>14</v>
      </c>
    </row>
    <row r="5" spans="1:19" ht="33.75" thickBot="1">
      <c r="A5" s="18" t="s">
        <v>15</v>
      </c>
      <c r="B5" s="19" t="s">
        <v>16</v>
      </c>
      <c r="C5" s="20"/>
      <c r="D5" s="18" t="s">
        <v>15</v>
      </c>
      <c r="E5" s="19" t="s">
        <v>17</v>
      </c>
      <c r="F5" s="21"/>
      <c r="G5" s="20"/>
      <c r="H5" s="22" t="s">
        <v>15</v>
      </c>
      <c r="I5" s="23" t="s">
        <v>18</v>
      </c>
      <c r="J5" s="24" t="s">
        <v>19</v>
      </c>
      <c r="K5" s="25" t="s">
        <v>20</v>
      </c>
      <c r="L5" s="26" t="s">
        <v>21</v>
      </c>
      <c r="M5" s="27" t="s">
        <v>22</v>
      </c>
      <c r="N5" s="27" t="s">
        <v>23</v>
      </c>
      <c r="O5" s="27" t="s">
        <v>24</v>
      </c>
      <c r="P5" s="27" t="s">
        <v>25</v>
      </c>
      <c r="Q5" s="28" t="s">
        <v>26</v>
      </c>
      <c r="R5" s="29" t="s">
        <v>27</v>
      </c>
      <c r="S5" s="20" t="s">
        <v>28</v>
      </c>
    </row>
    <row r="6" spans="1:19" ht="126.75" thickTop="1">
      <c r="A6" s="30">
        <v>1</v>
      </c>
      <c r="B6" s="57" t="s">
        <v>29</v>
      </c>
      <c r="C6" s="58"/>
      <c r="D6" s="30">
        <v>1</v>
      </c>
      <c r="E6" s="57" t="s">
        <v>30</v>
      </c>
      <c r="F6" s="59"/>
      <c r="G6" s="58"/>
      <c r="H6" s="30">
        <v>1</v>
      </c>
      <c r="I6" s="47" t="s">
        <v>31</v>
      </c>
      <c r="J6" s="37" t="s">
        <v>32</v>
      </c>
      <c r="K6" s="31"/>
      <c r="L6" s="32"/>
      <c r="M6" s="33"/>
      <c r="N6" s="33"/>
      <c r="O6" s="34"/>
      <c r="P6" s="35"/>
      <c r="Q6" s="36"/>
      <c r="R6" s="33"/>
      <c r="S6" s="34"/>
    </row>
    <row r="7" spans="1:19" ht="126">
      <c r="A7" s="30"/>
      <c r="B7" s="57"/>
      <c r="C7" s="58"/>
      <c r="D7" s="30"/>
      <c r="E7" s="57"/>
      <c r="F7" s="59"/>
      <c r="G7" s="58"/>
      <c r="H7" s="30">
        <v>2</v>
      </c>
      <c r="I7" s="51" t="s">
        <v>33</v>
      </c>
      <c r="J7" s="37" t="s">
        <v>32</v>
      </c>
      <c r="K7" s="31"/>
      <c r="L7" s="32"/>
      <c r="M7" s="33"/>
      <c r="N7" s="33"/>
      <c r="O7" s="34"/>
      <c r="P7" s="35"/>
      <c r="Q7" s="36"/>
      <c r="R7" s="33"/>
      <c r="S7" s="34"/>
    </row>
    <row r="8" spans="1:19">
      <c r="A8" s="30"/>
      <c r="B8" s="48"/>
      <c r="C8" s="49"/>
      <c r="D8" s="30"/>
      <c r="E8" s="75"/>
      <c r="F8" s="76"/>
      <c r="G8" s="77"/>
      <c r="H8" s="30">
        <v>3</v>
      </c>
      <c r="I8" s="51" t="s">
        <v>34</v>
      </c>
      <c r="J8" s="37" t="s">
        <v>35</v>
      </c>
      <c r="K8" s="31"/>
      <c r="L8" s="32"/>
      <c r="M8" s="33"/>
      <c r="N8" s="33"/>
      <c r="O8" s="34"/>
      <c r="P8" s="35"/>
      <c r="Q8" s="36"/>
      <c r="R8" s="33"/>
      <c r="S8" s="34"/>
    </row>
    <row r="9" spans="1:19">
      <c r="A9" s="30"/>
      <c r="B9" s="48"/>
      <c r="C9" s="49"/>
      <c r="D9" s="30"/>
      <c r="E9" s="48"/>
      <c r="F9" s="50"/>
      <c r="G9" s="49"/>
      <c r="H9" s="30">
        <v>4</v>
      </c>
      <c r="I9" s="51" t="s">
        <v>36</v>
      </c>
      <c r="J9" s="37" t="s">
        <v>35</v>
      </c>
      <c r="K9" s="31"/>
      <c r="L9" s="32"/>
      <c r="M9" s="33"/>
      <c r="N9" s="33"/>
      <c r="O9" s="34"/>
      <c r="P9" s="35"/>
      <c r="Q9" s="36"/>
      <c r="R9" s="33"/>
      <c r="S9" s="34"/>
    </row>
    <row r="10" spans="1:19">
      <c r="A10" s="30"/>
      <c r="B10" s="48"/>
      <c r="C10" s="49"/>
      <c r="D10" s="30"/>
      <c r="E10" s="48"/>
      <c r="F10" s="50"/>
      <c r="G10" s="49"/>
      <c r="H10" s="30">
        <v>5</v>
      </c>
      <c r="I10" s="51" t="s">
        <v>37</v>
      </c>
      <c r="J10" s="37" t="s">
        <v>38</v>
      </c>
      <c r="K10" s="31"/>
      <c r="L10" s="32"/>
      <c r="M10" s="33"/>
      <c r="N10" s="33"/>
      <c r="O10" s="34"/>
      <c r="P10" s="35"/>
      <c r="Q10" s="36"/>
      <c r="R10" s="33"/>
      <c r="S10" s="34"/>
    </row>
    <row r="11" spans="1:19">
      <c r="A11" s="30"/>
      <c r="B11" s="48"/>
      <c r="C11" s="49"/>
      <c r="D11" s="30"/>
      <c r="E11" s="48"/>
      <c r="F11" s="50"/>
      <c r="G11" s="49"/>
      <c r="H11" s="30">
        <v>6</v>
      </c>
      <c r="I11" s="51" t="s">
        <v>39</v>
      </c>
      <c r="J11" s="37" t="s">
        <v>40</v>
      </c>
      <c r="K11" s="31"/>
      <c r="L11" s="32"/>
      <c r="M11" s="33"/>
      <c r="N11" s="33"/>
      <c r="O11" s="34"/>
      <c r="P11" s="35"/>
      <c r="Q11" s="36"/>
      <c r="R11" s="33"/>
      <c r="S11" s="34"/>
    </row>
    <row r="12" spans="1:19">
      <c r="A12" s="30"/>
      <c r="B12" s="48"/>
      <c r="C12" s="49"/>
      <c r="D12" s="30"/>
      <c r="E12" s="48"/>
      <c r="F12" s="50"/>
      <c r="G12" s="49"/>
      <c r="H12" s="30">
        <v>7</v>
      </c>
      <c r="I12" s="51" t="s">
        <v>41</v>
      </c>
      <c r="J12" s="37" t="s">
        <v>40</v>
      </c>
      <c r="K12" s="31"/>
      <c r="L12" s="32"/>
      <c r="M12" s="33"/>
      <c r="N12" s="33"/>
      <c r="O12" s="34"/>
      <c r="P12" s="35"/>
      <c r="Q12" s="36"/>
      <c r="R12" s="33"/>
      <c r="S12" s="34"/>
    </row>
    <row r="13" spans="1:19">
      <c r="A13" s="30"/>
      <c r="B13" s="48"/>
      <c r="C13" s="49"/>
      <c r="D13" s="30"/>
      <c r="E13" s="48"/>
      <c r="F13" s="50"/>
      <c r="G13" s="49"/>
      <c r="H13" s="30">
        <v>8</v>
      </c>
      <c r="I13" s="51" t="s">
        <v>42</v>
      </c>
      <c r="J13" s="37" t="s">
        <v>40</v>
      </c>
      <c r="K13" s="31"/>
      <c r="L13" s="32"/>
      <c r="M13" s="33"/>
      <c r="N13" s="33"/>
      <c r="O13" s="34"/>
      <c r="P13" s="35"/>
      <c r="Q13" s="36"/>
      <c r="R13" s="33"/>
      <c r="S13" s="34"/>
    </row>
    <row r="14" spans="1:19" ht="78.75">
      <c r="A14" s="30"/>
      <c r="B14" s="48"/>
      <c r="C14" s="49"/>
      <c r="D14" s="30">
        <v>2</v>
      </c>
      <c r="E14" s="57" t="s">
        <v>43</v>
      </c>
      <c r="F14" s="59"/>
      <c r="G14" s="58"/>
      <c r="H14" s="30">
        <v>1</v>
      </c>
      <c r="I14" s="51" t="s">
        <v>44</v>
      </c>
      <c r="J14" s="37" t="s">
        <v>45</v>
      </c>
      <c r="K14" s="31"/>
      <c r="L14" s="32"/>
      <c r="M14" s="33"/>
      <c r="N14" s="33"/>
      <c r="O14" s="34"/>
      <c r="P14" s="35"/>
      <c r="Q14" s="36"/>
      <c r="R14" s="33"/>
      <c r="S14" s="34"/>
    </row>
    <row r="15" spans="1:19" ht="31.5">
      <c r="A15" s="30"/>
      <c r="B15" s="48"/>
      <c r="C15" s="49"/>
      <c r="D15" s="30"/>
      <c r="E15" s="57"/>
      <c r="F15" s="59"/>
      <c r="G15" s="58"/>
      <c r="H15" s="30">
        <v>2</v>
      </c>
      <c r="I15" s="51" t="s">
        <v>46</v>
      </c>
      <c r="J15" s="37" t="s">
        <v>47</v>
      </c>
      <c r="K15" s="31"/>
      <c r="L15" s="32"/>
      <c r="M15" s="33"/>
      <c r="N15" s="33"/>
      <c r="O15" s="34"/>
      <c r="P15" s="35"/>
      <c r="Q15" s="36"/>
      <c r="R15" s="33"/>
      <c r="S15" s="34"/>
    </row>
    <row r="16" spans="1:19">
      <c r="A16" s="30"/>
      <c r="B16" s="48"/>
      <c r="C16" s="49"/>
      <c r="D16" s="30"/>
      <c r="E16" s="48"/>
      <c r="F16" s="50"/>
      <c r="G16" s="49"/>
      <c r="H16" s="30">
        <v>3</v>
      </c>
      <c r="I16" s="51" t="s">
        <v>48</v>
      </c>
      <c r="J16" s="37" t="s">
        <v>49</v>
      </c>
      <c r="K16" s="31"/>
      <c r="L16" s="32"/>
      <c r="M16" s="33"/>
      <c r="N16" s="33"/>
      <c r="O16" s="34"/>
      <c r="P16" s="35"/>
      <c r="Q16" s="36"/>
      <c r="R16" s="33"/>
      <c r="S16" s="34"/>
    </row>
    <row r="17" spans="1:19" ht="31.5">
      <c r="A17" s="30"/>
      <c r="B17" s="48"/>
      <c r="C17" s="49"/>
      <c r="D17" s="30"/>
      <c r="E17" s="48"/>
      <c r="F17" s="50"/>
      <c r="G17" s="49"/>
      <c r="H17" s="30">
        <v>4</v>
      </c>
      <c r="I17" s="51" t="s">
        <v>50</v>
      </c>
      <c r="J17" s="37" t="s">
        <v>51</v>
      </c>
      <c r="K17" s="31"/>
      <c r="L17" s="32"/>
      <c r="M17" s="33"/>
      <c r="N17" s="33"/>
      <c r="O17" s="34"/>
      <c r="P17" s="35"/>
      <c r="Q17" s="36"/>
      <c r="R17" s="33"/>
      <c r="S17" s="34"/>
    </row>
    <row r="18" spans="1:19" ht="31.5">
      <c r="A18" s="30"/>
      <c r="B18" s="48"/>
      <c r="C18" s="49"/>
      <c r="D18" s="30"/>
      <c r="E18" s="48"/>
      <c r="F18" s="50"/>
      <c r="G18" s="49"/>
      <c r="H18" s="30">
        <v>5</v>
      </c>
      <c r="I18" s="51" t="s">
        <v>52</v>
      </c>
      <c r="J18" s="37" t="s">
        <v>53</v>
      </c>
      <c r="K18" s="31"/>
      <c r="L18" s="32"/>
      <c r="M18" s="33"/>
      <c r="N18" s="33"/>
      <c r="O18" s="34"/>
      <c r="P18" s="35"/>
      <c r="Q18" s="36"/>
      <c r="R18" s="33"/>
      <c r="S18" s="34"/>
    </row>
    <row r="19" spans="1:19" ht="31.5">
      <c r="A19" s="30"/>
      <c r="B19" s="48"/>
      <c r="C19" s="49"/>
      <c r="D19" s="30"/>
      <c r="E19" s="48"/>
      <c r="F19" s="50"/>
      <c r="G19" s="49"/>
      <c r="H19" s="30">
        <v>6</v>
      </c>
      <c r="I19" s="51" t="s">
        <v>54</v>
      </c>
      <c r="J19" s="37" t="s">
        <v>55</v>
      </c>
      <c r="K19" s="31"/>
      <c r="L19" s="32"/>
      <c r="M19" s="33"/>
      <c r="N19" s="33"/>
      <c r="O19" s="34"/>
      <c r="P19" s="35"/>
      <c r="Q19" s="36"/>
      <c r="R19" s="33"/>
      <c r="S19" s="34"/>
    </row>
    <row r="20" spans="1:19" ht="94.5">
      <c r="A20" s="30"/>
      <c r="B20" s="48"/>
      <c r="C20" s="49"/>
      <c r="D20" s="30"/>
      <c r="E20" s="48"/>
      <c r="F20" s="50"/>
      <c r="G20" s="49"/>
      <c r="H20" s="30">
        <v>7</v>
      </c>
      <c r="I20" s="51" t="s">
        <v>56</v>
      </c>
      <c r="J20" s="37" t="s">
        <v>57</v>
      </c>
      <c r="K20" s="31"/>
      <c r="L20" s="32"/>
      <c r="M20" s="33"/>
      <c r="N20" s="33"/>
      <c r="O20" s="34"/>
      <c r="P20" s="35"/>
      <c r="Q20" s="36"/>
      <c r="R20" s="33"/>
      <c r="S20" s="34"/>
    </row>
    <row r="21" spans="1:19" ht="110.25">
      <c r="A21" s="30"/>
      <c r="B21" s="48"/>
      <c r="C21" s="49"/>
      <c r="D21" s="30"/>
      <c r="E21" s="48"/>
      <c r="F21" s="50"/>
      <c r="G21" s="49"/>
      <c r="H21" s="30">
        <v>8</v>
      </c>
      <c r="I21" s="51" t="s">
        <v>58</v>
      </c>
      <c r="J21" s="37" t="s">
        <v>59</v>
      </c>
      <c r="K21" s="31"/>
      <c r="L21" s="32"/>
      <c r="M21" s="33"/>
      <c r="N21" s="33"/>
      <c r="O21" s="34"/>
      <c r="P21" s="35"/>
      <c r="Q21" s="36"/>
      <c r="R21" s="33"/>
      <c r="S21" s="34"/>
    </row>
    <row r="22" spans="1:19" ht="110.25">
      <c r="A22" s="30"/>
      <c r="B22" s="48"/>
      <c r="C22" s="49"/>
      <c r="D22" s="30"/>
      <c r="E22" s="48"/>
      <c r="F22" s="50"/>
      <c r="G22" s="49"/>
      <c r="H22" s="30">
        <v>9</v>
      </c>
      <c r="I22" s="51" t="s">
        <v>60</v>
      </c>
      <c r="J22" s="37" t="s">
        <v>61</v>
      </c>
      <c r="K22" s="31"/>
      <c r="L22" s="32"/>
      <c r="M22" s="33"/>
      <c r="N22" s="33"/>
      <c r="O22" s="34"/>
      <c r="P22" s="35"/>
      <c r="Q22" s="36"/>
      <c r="R22" s="33"/>
      <c r="S22" s="34"/>
    </row>
    <row r="23" spans="1:19" ht="126">
      <c r="A23" s="30"/>
      <c r="B23" s="48"/>
      <c r="C23" s="49"/>
      <c r="D23" s="30"/>
      <c r="E23" s="48"/>
      <c r="F23" s="50"/>
      <c r="G23" s="49"/>
      <c r="H23" s="30">
        <v>10</v>
      </c>
      <c r="I23" s="51" t="s">
        <v>62</v>
      </c>
      <c r="J23" s="37" t="s">
        <v>63</v>
      </c>
      <c r="K23" s="31"/>
      <c r="L23" s="32"/>
      <c r="M23" s="33"/>
      <c r="N23" s="33"/>
      <c r="O23" s="34"/>
      <c r="P23" s="35"/>
      <c r="Q23" s="36"/>
      <c r="R23" s="33"/>
      <c r="S23" s="34"/>
    </row>
    <row r="24" spans="1:19" ht="31.5">
      <c r="A24" s="30"/>
      <c r="B24" s="48"/>
      <c r="C24" s="49"/>
      <c r="D24" s="30"/>
      <c r="E24" s="48"/>
      <c r="F24" s="50"/>
      <c r="G24" s="49"/>
      <c r="H24" s="30">
        <v>11</v>
      </c>
      <c r="I24" s="51" t="s">
        <v>64</v>
      </c>
      <c r="J24" s="37" t="s">
        <v>65</v>
      </c>
      <c r="K24" s="31"/>
      <c r="L24" s="32"/>
      <c r="M24" s="33"/>
      <c r="N24" s="33"/>
      <c r="O24" s="34"/>
      <c r="P24" s="35"/>
      <c r="Q24" s="36"/>
      <c r="R24" s="33"/>
      <c r="S24" s="34"/>
    </row>
    <row r="25" spans="1:19" ht="31.5">
      <c r="A25" s="30"/>
      <c r="B25" s="48"/>
      <c r="C25" s="49"/>
      <c r="D25" s="30"/>
      <c r="E25" s="48"/>
      <c r="F25" s="50"/>
      <c r="G25" s="49"/>
      <c r="H25" s="30">
        <v>12</v>
      </c>
      <c r="I25" s="51" t="s">
        <v>66</v>
      </c>
      <c r="J25" s="37" t="s">
        <v>67</v>
      </c>
      <c r="K25" s="31"/>
      <c r="L25" s="32"/>
      <c r="M25" s="33"/>
      <c r="N25" s="33"/>
      <c r="O25" s="34"/>
      <c r="P25" s="35"/>
      <c r="Q25" s="36"/>
      <c r="R25" s="33"/>
      <c r="S25" s="34"/>
    </row>
    <row r="26" spans="1:19" ht="31.5">
      <c r="A26" s="30"/>
      <c r="B26" s="48"/>
      <c r="C26" s="49"/>
      <c r="D26" s="30"/>
      <c r="E26" s="48"/>
      <c r="F26" s="50"/>
      <c r="G26" s="49"/>
      <c r="H26" s="30">
        <v>13</v>
      </c>
      <c r="I26" s="51" t="s">
        <v>68</v>
      </c>
      <c r="J26" s="37" t="s">
        <v>69</v>
      </c>
      <c r="K26" s="31"/>
      <c r="L26" s="32"/>
      <c r="M26" s="33"/>
      <c r="N26" s="33"/>
      <c r="O26" s="34"/>
      <c r="P26" s="35"/>
      <c r="Q26" s="36"/>
      <c r="R26" s="33"/>
      <c r="S26" s="34"/>
    </row>
    <row r="27" spans="1:19" ht="129.75" customHeight="1">
      <c r="A27" s="30">
        <v>2</v>
      </c>
      <c r="B27" s="57" t="s">
        <v>70</v>
      </c>
      <c r="C27" s="58"/>
      <c r="D27" s="30">
        <v>1</v>
      </c>
      <c r="E27" s="57" t="s">
        <v>43</v>
      </c>
      <c r="F27" s="59"/>
      <c r="G27" s="58"/>
      <c r="H27" s="30">
        <v>1</v>
      </c>
      <c r="I27" s="51" t="s">
        <v>44</v>
      </c>
      <c r="J27" s="37" t="s">
        <v>71</v>
      </c>
      <c r="K27" s="31"/>
      <c r="L27" s="32"/>
      <c r="M27" s="33"/>
      <c r="N27" s="33"/>
      <c r="O27" s="34"/>
      <c r="P27" s="35"/>
      <c r="Q27" s="36"/>
      <c r="R27" s="33"/>
      <c r="S27" s="34"/>
    </row>
    <row r="28" spans="1:19">
      <c r="A28" s="30"/>
      <c r="B28" s="48"/>
      <c r="C28" s="49"/>
      <c r="D28" s="30"/>
      <c r="E28" s="57"/>
      <c r="F28" s="59"/>
      <c r="G28" s="58"/>
      <c r="H28" s="30">
        <v>2</v>
      </c>
      <c r="I28" s="51" t="s">
        <v>46</v>
      </c>
      <c r="J28" s="37" t="s">
        <v>72</v>
      </c>
      <c r="K28" s="31"/>
      <c r="L28" s="32"/>
      <c r="M28" s="33"/>
      <c r="N28" s="33"/>
      <c r="O28" s="34"/>
      <c r="P28" s="35"/>
      <c r="Q28" s="36"/>
      <c r="R28" s="33"/>
      <c r="S28" s="34"/>
    </row>
    <row r="29" spans="1:19">
      <c r="A29" s="30"/>
      <c r="B29" s="48"/>
      <c r="C29" s="49"/>
      <c r="D29" s="30"/>
      <c r="E29" s="48"/>
      <c r="F29" s="50"/>
      <c r="G29" s="49"/>
      <c r="H29" s="30">
        <v>3</v>
      </c>
      <c r="I29" s="51" t="s">
        <v>48</v>
      </c>
      <c r="J29" s="37" t="s">
        <v>73</v>
      </c>
      <c r="K29" s="31"/>
      <c r="L29" s="32"/>
      <c r="M29" s="33"/>
      <c r="N29" s="33"/>
      <c r="O29" s="34"/>
      <c r="P29" s="35"/>
      <c r="Q29" s="36"/>
      <c r="R29" s="33"/>
      <c r="S29" s="34"/>
    </row>
    <row r="30" spans="1:19">
      <c r="A30" s="30"/>
      <c r="B30" s="48"/>
      <c r="C30" s="49"/>
      <c r="D30" s="30"/>
      <c r="E30" s="48"/>
      <c r="F30" s="50"/>
      <c r="G30" s="49"/>
      <c r="H30" s="30">
        <v>4</v>
      </c>
      <c r="I30" s="51" t="s">
        <v>50</v>
      </c>
      <c r="J30" s="37" t="s">
        <v>74</v>
      </c>
      <c r="K30" s="31"/>
      <c r="L30" s="32"/>
      <c r="M30" s="33"/>
      <c r="N30" s="33"/>
      <c r="O30" s="34"/>
      <c r="P30" s="35"/>
      <c r="Q30" s="36"/>
      <c r="R30" s="33"/>
      <c r="S30" s="34"/>
    </row>
    <row r="31" spans="1:19">
      <c r="A31" s="30"/>
      <c r="B31" s="48"/>
      <c r="C31" s="49"/>
      <c r="D31" s="30"/>
      <c r="E31" s="48"/>
      <c r="F31" s="50"/>
      <c r="G31" s="49"/>
      <c r="H31" s="30">
        <v>5</v>
      </c>
      <c r="I31" s="51" t="s">
        <v>52</v>
      </c>
      <c r="J31" s="37" t="s">
        <v>75</v>
      </c>
      <c r="K31" s="31"/>
      <c r="L31" s="32"/>
      <c r="M31" s="33"/>
      <c r="N31" s="33"/>
      <c r="O31" s="34"/>
      <c r="P31" s="35"/>
      <c r="Q31" s="36"/>
      <c r="R31" s="33"/>
      <c r="S31" s="34"/>
    </row>
    <row r="32" spans="1:19">
      <c r="A32" s="30"/>
      <c r="B32" s="48"/>
      <c r="C32" s="49"/>
      <c r="D32" s="30"/>
      <c r="E32" s="48"/>
      <c r="F32" s="50"/>
      <c r="G32" s="49"/>
      <c r="H32" s="30">
        <v>6</v>
      </c>
      <c r="I32" s="51" t="s">
        <v>54</v>
      </c>
      <c r="J32" s="37" t="s">
        <v>76</v>
      </c>
      <c r="K32" s="31"/>
      <c r="L32" s="32"/>
      <c r="M32" s="33"/>
      <c r="N32" s="33"/>
      <c r="O32" s="34"/>
      <c r="P32" s="35"/>
      <c r="Q32" s="36"/>
      <c r="R32" s="33"/>
      <c r="S32" s="34"/>
    </row>
    <row r="33" spans="1:19">
      <c r="A33" s="30"/>
      <c r="B33" s="48"/>
      <c r="C33" s="49"/>
      <c r="D33" s="30"/>
      <c r="E33" s="48"/>
      <c r="F33" s="50"/>
      <c r="G33" s="49"/>
      <c r="H33" s="30">
        <v>7</v>
      </c>
      <c r="I33" s="51" t="s">
        <v>56</v>
      </c>
      <c r="J33" s="37" t="s">
        <v>77</v>
      </c>
      <c r="K33" s="31"/>
      <c r="L33" s="32"/>
      <c r="M33" s="33"/>
      <c r="N33" s="33"/>
      <c r="O33" s="34"/>
      <c r="P33" s="35"/>
      <c r="Q33" s="36"/>
      <c r="R33" s="33"/>
      <c r="S33" s="34"/>
    </row>
    <row r="34" spans="1:19">
      <c r="A34" s="30"/>
      <c r="B34" s="48"/>
      <c r="C34" s="49"/>
      <c r="D34" s="30"/>
      <c r="E34" s="48"/>
      <c r="F34" s="50"/>
      <c r="G34" s="49"/>
      <c r="H34" s="30">
        <v>8</v>
      </c>
      <c r="I34" s="51" t="s">
        <v>58</v>
      </c>
      <c r="J34" s="37" t="s">
        <v>78</v>
      </c>
      <c r="K34" s="31"/>
      <c r="L34" s="32"/>
      <c r="M34" s="33"/>
      <c r="N34" s="33"/>
      <c r="O34" s="34"/>
      <c r="P34" s="35"/>
      <c r="Q34" s="36"/>
      <c r="R34" s="33"/>
      <c r="S34" s="34"/>
    </row>
    <row r="35" spans="1:19">
      <c r="A35" s="30"/>
      <c r="B35" s="48"/>
      <c r="C35" s="49"/>
      <c r="D35" s="30"/>
      <c r="E35" s="48"/>
      <c r="F35" s="50"/>
      <c r="G35" s="49"/>
      <c r="H35" s="30">
        <v>9</v>
      </c>
      <c r="I35" s="51" t="s">
        <v>60</v>
      </c>
      <c r="J35" s="37" t="s">
        <v>79</v>
      </c>
      <c r="K35" s="31"/>
      <c r="L35" s="32"/>
      <c r="M35" s="33"/>
      <c r="N35" s="33"/>
      <c r="O35" s="34"/>
      <c r="P35" s="35"/>
      <c r="Q35" s="36"/>
      <c r="R35" s="33"/>
      <c r="S35" s="34"/>
    </row>
    <row r="36" spans="1:19">
      <c r="A36" s="30"/>
      <c r="B36" s="48"/>
      <c r="C36" s="49"/>
      <c r="D36" s="30"/>
      <c r="E36" s="48"/>
      <c r="F36" s="50"/>
      <c r="G36" s="49"/>
      <c r="H36" s="30">
        <v>10</v>
      </c>
      <c r="I36" s="51" t="s">
        <v>62</v>
      </c>
      <c r="J36" s="37" t="s">
        <v>80</v>
      </c>
      <c r="K36" s="31"/>
      <c r="L36" s="32"/>
      <c r="M36" s="33"/>
      <c r="N36" s="33"/>
      <c r="O36" s="34"/>
      <c r="P36" s="35"/>
      <c r="Q36" s="36"/>
      <c r="R36" s="33"/>
      <c r="S36" s="34"/>
    </row>
    <row r="37" spans="1:19">
      <c r="A37" s="30"/>
      <c r="B37" s="48"/>
      <c r="C37" s="49"/>
      <c r="D37" s="30"/>
      <c r="E37" s="48"/>
      <c r="F37" s="50"/>
      <c r="G37" s="49"/>
      <c r="H37" s="30">
        <v>11</v>
      </c>
      <c r="I37" s="51" t="s">
        <v>64</v>
      </c>
      <c r="J37" s="37" t="s">
        <v>81</v>
      </c>
      <c r="K37" s="31"/>
      <c r="L37" s="32"/>
      <c r="M37" s="33"/>
      <c r="N37" s="33"/>
      <c r="O37" s="34"/>
      <c r="P37" s="35"/>
      <c r="Q37" s="36"/>
      <c r="R37" s="33"/>
      <c r="S37" s="34"/>
    </row>
    <row r="38" spans="1:19">
      <c r="A38" s="30"/>
      <c r="B38" s="48"/>
      <c r="C38" s="49"/>
      <c r="D38" s="30"/>
      <c r="E38" s="48"/>
      <c r="F38" s="50"/>
      <c r="G38" s="49"/>
      <c r="H38" s="30">
        <v>12</v>
      </c>
      <c r="I38" s="51" t="s">
        <v>66</v>
      </c>
      <c r="J38" s="37" t="s">
        <v>82</v>
      </c>
      <c r="K38" s="31"/>
      <c r="L38" s="32"/>
      <c r="M38" s="33"/>
      <c r="N38" s="33"/>
      <c r="O38" s="34"/>
      <c r="P38" s="35"/>
      <c r="Q38" s="36"/>
      <c r="R38" s="33"/>
      <c r="S38" s="34"/>
    </row>
    <row r="39" spans="1:19">
      <c r="A39" s="30"/>
      <c r="B39" s="48"/>
      <c r="C39" s="49"/>
      <c r="D39" s="30"/>
      <c r="E39" s="48"/>
      <c r="F39" s="50"/>
      <c r="G39" s="49"/>
      <c r="H39" s="30">
        <v>13</v>
      </c>
      <c r="I39" s="51" t="s">
        <v>68</v>
      </c>
      <c r="J39" s="37" t="s">
        <v>83</v>
      </c>
      <c r="K39" s="31"/>
      <c r="L39" s="32"/>
      <c r="M39" s="33"/>
      <c r="N39" s="33"/>
      <c r="O39" s="34"/>
      <c r="P39" s="35"/>
      <c r="Q39" s="36"/>
      <c r="R39" s="33"/>
      <c r="S39" s="34"/>
    </row>
    <row r="40" spans="1:19" ht="131.25" customHeight="1">
      <c r="A40" s="30">
        <v>3</v>
      </c>
      <c r="B40" s="57" t="s">
        <v>84</v>
      </c>
      <c r="C40" s="58"/>
      <c r="D40" s="30">
        <v>1</v>
      </c>
      <c r="E40" s="57" t="s">
        <v>43</v>
      </c>
      <c r="F40" s="59"/>
      <c r="G40" s="58"/>
      <c r="H40" s="30">
        <v>1</v>
      </c>
      <c r="I40" s="51" t="s">
        <v>44</v>
      </c>
      <c r="J40" s="37" t="s">
        <v>71</v>
      </c>
      <c r="K40" s="31"/>
      <c r="L40" s="32"/>
      <c r="M40" s="33"/>
      <c r="N40" s="33"/>
      <c r="O40" s="34"/>
      <c r="P40" s="35"/>
      <c r="Q40" s="36"/>
      <c r="R40" s="33"/>
      <c r="S40" s="34"/>
    </row>
    <row r="41" spans="1:19">
      <c r="A41" s="30"/>
      <c r="B41" s="48"/>
      <c r="C41" s="49"/>
      <c r="D41" s="30"/>
      <c r="E41" s="57"/>
      <c r="F41" s="59"/>
      <c r="G41" s="58"/>
      <c r="H41" s="30">
        <v>2</v>
      </c>
      <c r="I41" s="51" t="s">
        <v>46</v>
      </c>
      <c r="J41" s="37" t="s">
        <v>72</v>
      </c>
      <c r="K41" s="31"/>
      <c r="L41" s="32"/>
      <c r="M41" s="33"/>
      <c r="N41" s="33"/>
      <c r="O41" s="34"/>
      <c r="P41" s="35"/>
      <c r="Q41" s="36"/>
      <c r="R41" s="33"/>
      <c r="S41" s="34"/>
    </row>
    <row r="42" spans="1:19">
      <c r="A42" s="30"/>
      <c r="B42" s="48"/>
      <c r="C42" s="49"/>
      <c r="D42" s="30"/>
      <c r="E42" s="48"/>
      <c r="F42" s="50"/>
      <c r="G42" s="49"/>
      <c r="H42" s="30">
        <v>3</v>
      </c>
      <c r="I42" s="51" t="s">
        <v>48</v>
      </c>
      <c r="J42" s="37" t="s">
        <v>73</v>
      </c>
      <c r="K42" s="31"/>
      <c r="L42" s="32"/>
      <c r="M42" s="33"/>
      <c r="N42" s="33"/>
      <c r="O42" s="34"/>
      <c r="P42" s="35"/>
      <c r="Q42" s="36"/>
      <c r="R42" s="33"/>
      <c r="S42" s="34"/>
    </row>
    <row r="43" spans="1:19">
      <c r="A43" s="30"/>
      <c r="B43" s="48"/>
      <c r="C43" s="49"/>
      <c r="D43" s="30"/>
      <c r="E43" s="48"/>
      <c r="F43" s="50"/>
      <c r="G43" s="49"/>
      <c r="H43" s="30">
        <v>4</v>
      </c>
      <c r="I43" s="51" t="s">
        <v>50</v>
      </c>
      <c r="J43" s="37" t="s">
        <v>74</v>
      </c>
      <c r="K43" s="31"/>
      <c r="L43" s="32"/>
      <c r="M43" s="33"/>
      <c r="N43" s="33"/>
      <c r="O43" s="34"/>
      <c r="P43" s="35"/>
      <c r="Q43" s="36"/>
      <c r="R43" s="33"/>
      <c r="S43" s="34"/>
    </row>
    <row r="44" spans="1:19">
      <c r="A44" s="30"/>
      <c r="B44" s="48"/>
      <c r="C44" s="49"/>
      <c r="D44" s="30"/>
      <c r="E44" s="48"/>
      <c r="F44" s="50"/>
      <c r="G44" s="49"/>
      <c r="H44" s="30">
        <v>5</v>
      </c>
      <c r="I44" s="51" t="s">
        <v>52</v>
      </c>
      <c r="J44" s="37" t="s">
        <v>75</v>
      </c>
      <c r="K44" s="31"/>
      <c r="L44" s="32"/>
      <c r="M44" s="33"/>
      <c r="N44" s="33"/>
      <c r="O44" s="34"/>
      <c r="P44" s="35"/>
      <c r="Q44" s="36"/>
      <c r="R44" s="33"/>
      <c r="S44" s="34"/>
    </row>
    <row r="45" spans="1:19">
      <c r="A45" s="30"/>
      <c r="B45" s="48"/>
      <c r="C45" s="49"/>
      <c r="D45" s="30"/>
      <c r="E45" s="48"/>
      <c r="F45" s="50"/>
      <c r="G45" s="49"/>
      <c r="H45" s="30">
        <v>6</v>
      </c>
      <c r="I45" s="51" t="s">
        <v>54</v>
      </c>
      <c r="J45" s="37" t="s">
        <v>76</v>
      </c>
      <c r="K45" s="31"/>
      <c r="L45" s="32"/>
      <c r="M45" s="33"/>
      <c r="N45" s="33"/>
      <c r="O45" s="34"/>
      <c r="P45" s="35"/>
      <c r="Q45" s="36"/>
      <c r="R45" s="33"/>
      <c r="S45" s="34"/>
    </row>
    <row r="46" spans="1:19">
      <c r="A46" s="30"/>
      <c r="B46" s="48"/>
      <c r="C46" s="49"/>
      <c r="D46" s="30"/>
      <c r="E46" s="48"/>
      <c r="F46" s="50"/>
      <c r="G46" s="49"/>
      <c r="H46" s="30">
        <v>7</v>
      </c>
      <c r="I46" s="51" t="s">
        <v>56</v>
      </c>
      <c r="J46" s="37" t="s">
        <v>77</v>
      </c>
      <c r="K46" s="31"/>
      <c r="L46" s="32"/>
      <c r="M46" s="33"/>
      <c r="N46" s="33"/>
      <c r="O46" s="34"/>
      <c r="P46" s="35"/>
      <c r="Q46" s="36"/>
      <c r="R46" s="33"/>
      <c r="S46" s="34"/>
    </row>
    <row r="47" spans="1:19">
      <c r="A47" s="30"/>
      <c r="B47" s="48"/>
      <c r="C47" s="49"/>
      <c r="D47" s="30"/>
      <c r="E47" s="48"/>
      <c r="F47" s="50"/>
      <c r="G47" s="49"/>
      <c r="H47" s="30">
        <v>8</v>
      </c>
      <c r="I47" s="51" t="s">
        <v>58</v>
      </c>
      <c r="J47" s="37" t="s">
        <v>78</v>
      </c>
      <c r="K47" s="31"/>
      <c r="L47" s="32"/>
      <c r="M47" s="33"/>
      <c r="N47" s="33"/>
      <c r="O47" s="34"/>
      <c r="P47" s="35"/>
      <c r="Q47" s="36"/>
      <c r="R47" s="33"/>
      <c r="S47" s="34"/>
    </row>
    <row r="48" spans="1:19">
      <c r="A48" s="30"/>
      <c r="B48" s="48"/>
      <c r="C48" s="49"/>
      <c r="D48" s="30"/>
      <c r="E48" s="48"/>
      <c r="F48" s="50"/>
      <c r="G48" s="49"/>
      <c r="H48" s="30">
        <v>9</v>
      </c>
      <c r="I48" s="51" t="s">
        <v>60</v>
      </c>
      <c r="J48" s="37" t="s">
        <v>79</v>
      </c>
      <c r="K48" s="31"/>
      <c r="L48" s="32"/>
      <c r="M48" s="33"/>
      <c r="N48" s="33"/>
      <c r="O48" s="34"/>
      <c r="P48" s="35"/>
      <c r="Q48" s="36"/>
      <c r="R48" s="33"/>
      <c r="S48" s="34"/>
    </row>
    <row r="49" spans="1:19">
      <c r="A49" s="30"/>
      <c r="B49" s="48"/>
      <c r="C49" s="49"/>
      <c r="D49" s="30"/>
      <c r="E49" s="48"/>
      <c r="F49" s="50"/>
      <c r="G49" s="49"/>
      <c r="H49" s="30">
        <v>10</v>
      </c>
      <c r="I49" s="51" t="s">
        <v>62</v>
      </c>
      <c r="J49" s="37" t="s">
        <v>80</v>
      </c>
      <c r="K49" s="31"/>
      <c r="L49" s="32"/>
      <c r="M49" s="33"/>
      <c r="N49" s="33"/>
      <c r="O49" s="34"/>
      <c r="P49" s="35"/>
      <c r="Q49" s="36"/>
      <c r="R49" s="33"/>
      <c r="S49" s="34"/>
    </row>
    <row r="50" spans="1:19">
      <c r="A50" s="30"/>
      <c r="B50" s="48"/>
      <c r="C50" s="49"/>
      <c r="D50" s="30"/>
      <c r="E50" s="48"/>
      <c r="F50" s="50"/>
      <c r="G50" s="49"/>
      <c r="H50" s="30">
        <v>11</v>
      </c>
      <c r="I50" s="51" t="s">
        <v>64</v>
      </c>
      <c r="J50" s="37" t="s">
        <v>81</v>
      </c>
      <c r="K50" s="31"/>
      <c r="L50" s="32"/>
      <c r="M50" s="33"/>
      <c r="N50" s="33"/>
      <c r="O50" s="34"/>
      <c r="P50" s="35"/>
      <c r="Q50" s="36"/>
      <c r="R50" s="33"/>
      <c r="S50" s="34"/>
    </row>
    <row r="51" spans="1:19">
      <c r="A51" s="30"/>
      <c r="B51" s="48"/>
      <c r="C51" s="49"/>
      <c r="D51" s="30"/>
      <c r="E51" s="48"/>
      <c r="F51" s="50"/>
      <c r="G51" s="49"/>
      <c r="H51" s="30">
        <v>12</v>
      </c>
      <c r="I51" s="51" t="s">
        <v>66</v>
      </c>
      <c r="J51" s="37" t="s">
        <v>82</v>
      </c>
      <c r="K51" s="31"/>
      <c r="L51" s="32"/>
      <c r="M51" s="33"/>
      <c r="N51" s="33"/>
      <c r="O51" s="34"/>
      <c r="P51" s="35"/>
      <c r="Q51" s="36"/>
      <c r="R51" s="33"/>
      <c r="S51" s="34"/>
    </row>
    <row r="52" spans="1:19">
      <c r="A52" s="30"/>
      <c r="B52" s="48"/>
      <c r="C52" s="49"/>
      <c r="D52" s="30"/>
      <c r="E52" s="48"/>
      <c r="F52" s="50"/>
      <c r="G52" s="49"/>
      <c r="H52" s="30">
        <v>13</v>
      </c>
      <c r="I52" s="51" t="s">
        <v>68</v>
      </c>
      <c r="J52" s="37" t="s">
        <v>83</v>
      </c>
      <c r="K52" s="31"/>
      <c r="L52" s="32"/>
      <c r="M52" s="33"/>
      <c r="N52" s="33"/>
      <c r="O52" s="34"/>
      <c r="P52" s="35"/>
      <c r="Q52" s="36"/>
      <c r="R52" s="33"/>
      <c r="S52" s="34"/>
    </row>
    <row r="53" spans="1:19" ht="121.5" customHeight="1">
      <c r="A53" s="30">
        <v>4</v>
      </c>
      <c r="B53" s="57" t="s">
        <v>85</v>
      </c>
      <c r="C53" s="58"/>
      <c r="D53" s="30">
        <v>1</v>
      </c>
      <c r="E53" s="57" t="s">
        <v>43</v>
      </c>
      <c r="F53" s="59"/>
      <c r="G53" s="58"/>
      <c r="H53" s="30">
        <v>1</v>
      </c>
      <c r="I53" s="51" t="s">
        <v>44</v>
      </c>
      <c r="J53" s="37" t="s">
        <v>86</v>
      </c>
      <c r="K53" s="31"/>
      <c r="L53" s="32"/>
      <c r="M53" s="33"/>
      <c r="N53" s="33"/>
      <c r="O53" s="34"/>
      <c r="P53" s="35"/>
      <c r="Q53" s="36"/>
      <c r="R53" s="33"/>
      <c r="S53" s="34"/>
    </row>
    <row r="54" spans="1:19" ht="126">
      <c r="A54" s="30">
        <v>5</v>
      </c>
      <c r="B54" s="57" t="s">
        <v>87</v>
      </c>
      <c r="C54" s="58"/>
      <c r="D54" s="30">
        <v>1</v>
      </c>
      <c r="E54" s="57" t="s">
        <v>30</v>
      </c>
      <c r="F54" s="59"/>
      <c r="G54" s="58"/>
      <c r="H54" s="30">
        <v>1</v>
      </c>
      <c r="I54" s="47" t="s">
        <v>31</v>
      </c>
      <c r="J54" s="37" t="s">
        <v>32</v>
      </c>
      <c r="K54" s="31"/>
      <c r="L54" s="32"/>
      <c r="M54" s="33"/>
      <c r="N54" s="33"/>
      <c r="O54" s="34"/>
      <c r="P54" s="35"/>
      <c r="Q54" s="36"/>
      <c r="R54" s="33"/>
      <c r="S54" s="34"/>
    </row>
    <row r="55" spans="1:19" ht="126">
      <c r="A55" s="30"/>
      <c r="B55" s="57"/>
      <c r="C55" s="58"/>
      <c r="D55" s="30"/>
      <c r="E55" s="57"/>
      <c r="F55" s="59"/>
      <c r="G55" s="58"/>
      <c r="H55" s="30">
        <v>2</v>
      </c>
      <c r="I55" s="51" t="s">
        <v>33</v>
      </c>
      <c r="J55" s="37" t="s">
        <v>32</v>
      </c>
      <c r="K55" s="31"/>
      <c r="L55" s="32"/>
      <c r="M55" s="33"/>
      <c r="N55" s="33"/>
      <c r="O55" s="34"/>
      <c r="P55" s="35"/>
      <c r="Q55" s="36"/>
      <c r="R55" s="33"/>
      <c r="S55" s="34"/>
    </row>
    <row r="56" spans="1:19">
      <c r="A56" s="30"/>
      <c r="B56" s="48"/>
      <c r="C56" s="49"/>
      <c r="D56" s="30"/>
      <c r="E56" s="75"/>
      <c r="F56" s="76"/>
      <c r="G56" s="77"/>
      <c r="H56" s="30">
        <v>3</v>
      </c>
      <c r="I56" s="51" t="s">
        <v>34</v>
      </c>
      <c r="J56" s="37" t="s">
        <v>35</v>
      </c>
      <c r="K56" s="31"/>
      <c r="L56" s="32"/>
      <c r="M56" s="33"/>
      <c r="N56" s="33"/>
      <c r="O56" s="34"/>
      <c r="P56" s="35"/>
      <c r="Q56" s="36"/>
      <c r="R56" s="33"/>
      <c r="S56" s="34"/>
    </row>
    <row r="57" spans="1:19">
      <c r="A57" s="30"/>
      <c r="B57" s="48"/>
      <c r="C57" s="49"/>
      <c r="D57" s="30"/>
      <c r="E57" s="48"/>
      <c r="F57" s="50"/>
      <c r="G57" s="49"/>
      <c r="H57" s="30">
        <v>4</v>
      </c>
      <c r="I57" s="51" t="s">
        <v>36</v>
      </c>
      <c r="J57" s="37" t="s">
        <v>35</v>
      </c>
      <c r="K57" s="31"/>
      <c r="L57" s="32"/>
      <c r="M57" s="33"/>
      <c r="N57" s="33"/>
      <c r="O57" s="34"/>
      <c r="P57" s="35"/>
      <c r="Q57" s="36"/>
      <c r="R57" s="33"/>
      <c r="S57" s="34"/>
    </row>
    <row r="58" spans="1:19">
      <c r="A58" s="30"/>
      <c r="B58" s="48"/>
      <c r="C58" s="49"/>
      <c r="D58" s="30"/>
      <c r="E58" s="48"/>
      <c r="F58" s="50"/>
      <c r="G58" s="49"/>
      <c r="H58" s="30">
        <v>5</v>
      </c>
      <c r="I58" s="51" t="s">
        <v>37</v>
      </c>
      <c r="J58" s="37" t="s">
        <v>38</v>
      </c>
      <c r="K58" s="31"/>
      <c r="L58" s="32"/>
      <c r="M58" s="33"/>
      <c r="N58" s="33"/>
      <c r="O58" s="34"/>
      <c r="P58" s="35"/>
      <c r="Q58" s="36"/>
      <c r="R58" s="33"/>
      <c r="S58" s="34"/>
    </row>
    <row r="59" spans="1:19">
      <c r="A59" s="30"/>
      <c r="B59" s="48"/>
      <c r="C59" s="49"/>
      <c r="D59" s="30"/>
      <c r="E59" s="48"/>
      <c r="F59" s="50"/>
      <c r="G59" s="49"/>
      <c r="H59" s="30">
        <v>6</v>
      </c>
      <c r="I59" s="51" t="s">
        <v>39</v>
      </c>
      <c r="J59" s="37" t="s">
        <v>40</v>
      </c>
      <c r="K59" s="31"/>
      <c r="L59" s="32"/>
      <c r="M59" s="33"/>
      <c r="N59" s="33"/>
      <c r="O59" s="34"/>
      <c r="P59" s="35"/>
      <c r="Q59" s="36"/>
      <c r="R59" s="33"/>
      <c r="S59" s="34"/>
    </row>
    <row r="60" spans="1:19">
      <c r="A60" s="30"/>
      <c r="B60" s="48"/>
      <c r="C60" s="49"/>
      <c r="D60" s="30"/>
      <c r="E60" s="48"/>
      <c r="F60" s="50"/>
      <c r="G60" s="49"/>
      <c r="H60" s="30">
        <v>7</v>
      </c>
      <c r="I60" s="51" t="s">
        <v>41</v>
      </c>
      <c r="J60" s="37" t="s">
        <v>40</v>
      </c>
      <c r="K60" s="31"/>
      <c r="L60" s="32"/>
      <c r="M60" s="33"/>
      <c r="N60" s="33"/>
      <c r="O60" s="34"/>
      <c r="P60" s="35"/>
      <c r="Q60" s="36"/>
      <c r="R60" s="33"/>
      <c r="S60" s="34"/>
    </row>
    <row r="61" spans="1:19">
      <c r="A61" s="30"/>
      <c r="B61" s="48"/>
      <c r="C61" s="49"/>
      <c r="D61" s="30"/>
      <c r="E61" s="48"/>
      <c r="F61" s="50"/>
      <c r="G61" s="49"/>
      <c r="H61" s="30">
        <v>8</v>
      </c>
      <c r="I61" s="51" t="s">
        <v>42</v>
      </c>
      <c r="J61" s="37" t="s">
        <v>40</v>
      </c>
      <c r="K61" s="31"/>
      <c r="L61" s="32"/>
      <c r="M61" s="33"/>
      <c r="N61" s="33"/>
      <c r="O61" s="34"/>
      <c r="P61" s="35"/>
      <c r="Q61" s="36"/>
      <c r="R61" s="33"/>
      <c r="S61" s="34"/>
    </row>
    <row r="62" spans="1:19" ht="110.25">
      <c r="A62" s="30"/>
      <c r="B62" s="48"/>
      <c r="C62" s="49"/>
      <c r="D62" s="30">
        <v>2</v>
      </c>
      <c r="E62" s="57" t="s">
        <v>43</v>
      </c>
      <c r="F62" s="59"/>
      <c r="G62" s="58"/>
      <c r="H62" s="30">
        <v>1</v>
      </c>
      <c r="I62" s="51" t="s">
        <v>44</v>
      </c>
      <c r="J62" s="37" t="s">
        <v>88</v>
      </c>
      <c r="K62" s="31"/>
      <c r="L62" s="32"/>
      <c r="M62" s="33"/>
      <c r="N62" s="33"/>
      <c r="O62" s="34"/>
      <c r="P62" s="35"/>
      <c r="Q62" s="36"/>
      <c r="R62" s="33"/>
      <c r="S62" s="34"/>
    </row>
    <row r="63" spans="1:19">
      <c r="A63" s="30"/>
      <c r="B63" s="48"/>
      <c r="C63" s="49"/>
      <c r="D63" s="30"/>
      <c r="E63" s="57"/>
      <c r="F63" s="59"/>
      <c r="G63" s="58"/>
      <c r="H63" s="30">
        <v>2</v>
      </c>
      <c r="I63" s="51" t="s">
        <v>46</v>
      </c>
      <c r="J63" s="37" t="s">
        <v>72</v>
      </c>
      <c r="K63" s="31"/>
      <c r="L63" s="32"/>
      <c r="M63" s="33"/>
      <c r="N63" s="33"/>
      <c r="O63" s="34"/>
      <c r="P63" s="35"/>
      <c r="Q63" s="36"/>
      <c r="R63" s="33"/>
      <c r="S63" s="34"/>
    </row>
    <row r="64" spans="1:19">
      <c r="A64" s="30"/>
      <c r="B64" s="48"/>
      <c r="C64" s="49"/>
      <c r="D64" s="30"/>
      <c r="E64" s="48"/>
      <c r="F64" s="50"/>
      <c r="G64" s="49"/>
      <c r="H64" s="30">
        <v>3</v>
      </c>
      <c r="I64" s="51" t="s">
        <v>48</v>
      </c>
      <c r="J64" s="37" t="s">
        <v>73</v>
      </c>
      <c r="K64" s="31"/>
      <c r="L64" s="32"/>
      <c r="M64" s="33"/>
      <c r="N64" s="33"/>
      <c r="O64" s="34"/>
      <c r="P64" s="35"/>
      <c r="Q64" s="36"/>
      <c r="R64" s="33"/>
      <c r="S64" s="34"/>
    </row>
    <row r="65" spans="1:19">
      <c r="A65" s="30"/>
      <c r="B65" s="48"/>
      <c r="C65" s="49"/>
      <c r="D65" s="30"/>
      <c r="E65" s="48"/>
      <c r="F65" s="50"/>
      <c r="G65" s="49"/>
      <c r="H65" s="30">
        <v>4</v>
      </c>
      <c r="I65" s="51" t="s">
        <v>50</v>
      </c>
      <c r="J65" s="37" t="s">
        <v>74</v>
      </c>
      <c r="K65" s="31"/>
      <c r="L65" s="32"/>
      <c r="M65" s="33"/>
      <c r="N65" s="33"/>
      <c r="O65" s="34"/>
      <c r="P65" s="35"/>
      <c r="Q65" s="36"/>
      <c r="R65" s="33"/>
      <c r="S65" s="34"/>
    </row>
    <row r="66" spans="1:19">
      <c r="A66" s="30"/>
      <c r="B66" s="48"/>
      <c r="C66" s="49"/>
      <c r="D66" s="30"/>
      <c r="E66" s="48"/>
      <c r="F66" s="50"/>
      <c r="G66" s="49"/>
      <c r="H66" s="30">
        <v>5</v>
      </c>
      <c r="I66" s="51" t="s">
        <v>52</v>
      </c>
      <c r="J66" s="37" t="s">
        <v>75</v>
      </c>
      <c r="K66" s="31"/>
      <c r="L66" s="32"/>
      <c r="M66" s="33"/>
      <c r="N66" s="33"/>
      <c r="O66" s="34"/>
      <c r="P66" s="35"/>
      <c r="Q66" s="36"/>
      <c r="R66" s="33"/>
      <c r="S66" s="34"/>
    </row>
    <row r="67" spans="1:19">
      <c r="A67" s="30"/>
      <c r="B67" s="48"/>
      <c r="C67" s="49"/>
      <c r="D67" s="30"/>
      <c r="E67" s="48"/>
      <c r="F67" s="50"/>
      <c r="G67" s="49"/>
      <c r="H67" s="30">
        <v>6</v>
      </c>
      <c r="I67" s="51" t="s">
        <v>54</v>
      </c>
      <c r="J67" s="37" t="s">
        <v>76</v>
      </c>
      <c r="K67" s="31"/>
      <c r="L67" s="32"/>
      <c r="M67" s="33"/>
      <c r="N67" s="33"/>
      <c r="O67" s="34"/>
      <c r="P67" s="35"/>
      <c r="Q67" s="36"/>
      <c r="R67" s="33"/>
      <c r="S67" s="34"/>
    </row>
    <row r="68" spans="1:19" ht="141.75">
      <c r="A68" s="30"/>
      <c r="B68" s="48"/>
      <c r="C68" s="49"/>
      <c r="D68" s="30"/>
      <c r="E68" s="48"/>
      <c r="F68" s="50"/>
      <c r="G68" s="49"/>
      <c r="H68" s="30">
        <v>7</v>
      </c>
      <c r="I68" s="51" t="s">
        <v>56</v>
      </c>
      <c r="J68" s="37" t="s">
        <v>89</v>
      </c>
      <c r="K68" s="31"/>
      <c r="L68" s="32"/>
      <c r="M68" s="33"/>
      <c r="N68" s="33"/>
      <c r="O68" s="34"/>
      <c r="P68" s="35"/>
      <c r="Q68" s="36"/>
      <c r="R68" s="33"/>
      <c r="S68" s="34"/>
    </row>
    <row r="69" spans="1:19" ht="157.5">
      <c r="A69" s="30"/>
      <c r="B69" s="48"/>
      <c r="C69" s="49"/>
      <c r="D69" s="30"/>
      <c r="E69" s="48"/>
      <c r="F69" s="50"/>
      <c r="G69" s="49"/>
      <c r="H69" s="30">
        <v>8</v>
      </c>
      <c r="I69" s="51" t="s">
        <v>58</v>
      </c>
      <c r="J69" s="37" t="s">
        <v>90</v>
      </c>
      <c r="K69" s="31"/>
      <c r="L69" s="32"/>
      <c r="M69" s="33"/>
      <c r="N69" s="33"/>
      <c r="O69" s="34"/>
      <c r="P69" s="35"/>
      <c r="Q69" s="36"/>
      <c r="R69" s="33"/>
      <c r="S69" s="34"/>
    </row>
    <row r="70" spans="1:19" ht="157.5">
      <c r="A70" s="30"/>
      <c r="B70" s="48"/>
      <c r="C70" s="49"/>
      <c r="D70" s="30"/>
      <c r="E70" s="48"/>
      <c r="F70" s="50"/>
      <c r="G70" s="49"/>
      <c r="H70" s="30">
        <v>9</v>
      </c>
      <c r="I70" s="51" t="s">
        <v>60</v>
      </c>
      <c r="J70" s="37" t="s">
        <v>91</v>
      </c>
      <c r="K70" s="31"/>
      <c r="L70" s="32"/>
      <c r="M70" s="33"/>
      <c r="N70" s="33"/>
      <c r="O70" s="34"/>
      <c r="P70" s="35"/>
      <c r="Q70" s="36"/>
      <c r="R70" s="33"/>
      <c r="S70" s="34"/>
    </row>
    <row r="71" spans="1:19" ht="189">
      <c r="A71" s="30"/>
      <c r="B71" s="48"/>
      <c r="C71" s="49"/>
      <c r="D71" s="30"/>
      <c r="E71" s="48"/>
      <c r="F71" s="50"/>
      <c r="G71" s="49"/>
      <c r="H71" s="30">
        <v>10</v>
      </c>
      <c r="I71" s="51" t="s">
        <v>62</v>
      </c>
      <c r="J71" s="37" t="s">
        <v>92</v>
      </c>
      <c r="K71" s="31"/>
      <c r="L71" s="32"/>
      <c r="M71" s="33"/>
      <c r="N71" s="33"/>
      <c r="O71" s="34"/>
      <c r="P71" s="35"/>
      <c r="Q71" s="36"/>
      <c r="R71" s="33"/>
      <c r="S71" s="34"/>
    </row>
    <row r="72" spans="1:19">
      <c r="A72" s="30"/>
      <c r="B72" s="48"/>
      <c r="C72" s="49"/>
      <c r="D72" s="30"/>
      <c r="E72" s="48"/>
      <c r="F72" s="50"/>
      <c r="G72" s="49"/>
      <c r="H72" s="30">
        <v>11</v>
      </c>
      <c r="I72" s="51" t="s">
        <v>64</v>
      </c>
      <c r="J72" s="37" t="s">
        <v>81</v>
      </c>
      <c r="K72" s="31"/>
      <c r="L72" s="32"/>
      <c r="M72" s="33"/>
      <c r="N72" s="33"/>
      <c r="O72" s="34"/>
      <c r="P72" s="35"/>
      <c r="Q72" s="36"/>
      <c r="R72" s="33"/>
      <c r="S72" s="34"/>
    </row>
    <row r="73" spans="1:19">
      <c r="A73" s="30"/>
      <c r="B73" s="48"/>
      <c r="C73" s="49"/>
      <c r="D73" s="30"/>
      <c r="E73" s="48"/>
      <c r="F73" s="50"/>
      <c r="G73" s="49"/>
      <c r="H73" s="30">
        <v>12</v>
      </c>
      <c r="I73" s="51" t="s">
        <v>66</v>
      </c>
      <c r="J73" s="37" t="s">
        <v>82</v>
      </c>
      <c r="K73" s="31"/>
      <c r="L73" s="32"/>
      <c r="M73" s="33"/>
      <c r="N73" s="33"/>
      <c r="O73" s="34"/>
      <c r="P73" s="35"/>
      <c r="Q73" s="36"/>
      <c r="R73" s="33"/>
      <c r="S73" s="34"/>
    </row>
    <row r="74" spans="1:19">
      <c r="A74" s="30"/>
      <c r="B74" s="48"/>
      <c r="C74" s="49"/>
      <c r="D74" s="30"/>
      <c r="E74" s="48"/>
      <c r="F74" s="50"/>
      <c r="G74" s="49"/>
      <c r="H74" s="30">
        <v>13</v>
      </c>
      <c r="I74" s="51" t="s">
        <v>68</v>
      </c>
      <c r="J74" s="37" t="s">
        <v>83</v>
      </c>
      <c r="K74" s="31"/>
      <c r="L74" s="32"/>
      <c r="M74" s="33"/>
      <c r="N74" s="33"/>
      <c r="O74" s="34"/>
      <c r="P74" s="35"/>
      <c r="Q74" s="36"/>
      <c r="R74" s="33"/>
      <c r="S74" s="34"/>
    </row>
    <row r="75" spans="1:19" ht="108" customHeight="1">
      <c r="A75" s="30">
        <v>6</v>
      </c>
      <c r="B75" s="57" t="s">
        <v>93</v>
      </c>
      <c r="C75" s="58"/>
      <c r="D75" s="30">
        <v>1</v>
      </c>
      <c r="E75" s="57" t="s">
        <v>43</v>
      </c>
      <c r="F75" s="59"/>
      <c r="G75" s="58"/>
      <c r="H75" s="30">
        <v>1</v>
      </c>
      <c r="I75" s="51" t="s">
        <v>44</v>
      </c>
      <c r="J75" s="37" t="s">
        <v>94</v>
      </c>
      <c r="K75" s="31"/>
      <c r="L75" s="32"/>
      <c r="M75" s="33"/>
      <c r="N75" s="33"/>
      <c r="O75" s="34"/>
      <c r="P75" s="35"/>
      <c r="Q75" s="36"/>
      <c r="R75" s="33"/>
      <c r="S75" s="34"/>
    </row>
    <row r="76" spans="1:19">
      <c r="A76" s="30"/>
      <c r="B76" s="48"/>
      <c r="C76" s="49"/>
      <c r="D76" s="30"/>
      <c r="E76" s="57"/>
      <c r="F76" s="59"/>
      <c r="G76" s="58"/>
      <c r="H76" s="30">
        <v>2</v>
      </c>
      <c r="I76" s="51" t="s">
        <v>46</v>
      </c>
      <c r="J76" s="37" t="s">
        <v>72</v>
      </c>
      <c r="K76" s="31"/>
      <c r="L76" s="32"/>
      <c r="M76" s="33"/>
      <c r="N76" s="33"/>
      <c r="O76" s="34"/>
      <c r="P76" s="35"/>
      <c r="Q76" s="36"/>
      <c r="R76" s="33"/>
      <c r="S76" s="34"/>
    </row>
    <row r="77" spans="1:19">
      <c r="A77" s="30"/>
      <c r="B77" s="48"/>
      <c r="C77" s="49"/>
      <c r="D77" s="30"/>
      <c r="E77" s="48"/>
      <c r="F77" s="50"/>
      <c r="G77" s="49"/>
      <c r="H77" s="30">
        <v>3</v>
      </c>
      <c r="I77" s="51" t="s">
        <v>48</v>
      </c>
      <c r="J77" s="37" t="s">
        <v>73</v>
      </c>
      <c r="K77" s="31"/>
      <c r="L77" s="32"/>
      <c r="M77" s="33"/>
      <c r="N77" s="33"/>
      <c r="O77" s="34"/>
      <c r="P77" s="35"/>
      <c r="Q77" s="36"/>
      <c r="R77" s="33"/>
      <c r="S77" s="34"/>
    </row>
    <row r="78" spans="1:19">
      <c r="A78" s="30"/>
      <c r="B78" s="48"/>
      <c r="C78" s="49"/>
      <c r="D78" s="30"/>
      <c r="E78" s="48"/>
      <c r="F78" s="50"/>
      <c r="G78" s="49"/>
      <c r="H78" s="30">
        <v>4</v>
      </c>
      <c r="I78" s="51" t="s">
        <v>50</v>
      </c>
      <c r="J78" s="37" t="s">
        <v>74</v>
      </c>
      <c r="K78" s="31"/>
      <c r="L78" s="32"/>
      <c r="M78" s="33"/>
      <c r="N78" s="33"/>
      <c r="O78" s="34"/>
      <c r="P78" s="35"/>
      <c r="Q78" s="36"/>
      <c r="R78" s="33"/>
      <c r="S78" s="34"/>
    </row>
    <row r="79" spans="1:19">
      <c r="A79" s="30"/>
      <c r="B79" s="48"/>
      <c r="C79" s="49"/>
      <c r="D79" s="30"/>
      <c r="E79" s="48"/>
      <c r="F79" s="50"/>
      <c r="G79" s="49"/>
      <c r="H79" s="30">
        <v>5</v>
      </c>
      <c r="I79" s="51" t="s">
        <v>52</v>
      </c>
      <c r="J79" s="37" t="s">
        <v>75</v>
      </c>
      <c r="K79" s="31"/>
      <c r="L79" s="32"/>
      <c r="M79" s="33"/>
      <c r="N79" s="33"/>
      <c r="O79" s="34"/>
      <c r="P79" s="35"/>
      <c r="Q79" s="36"/>
      <c r="R79" s="33"/>
      <c r="S79" s="34"/>
    </row>
    <row r="80" spans="1:19">
      <c r="A80" s="30"/>
      <c r="B80" s="48"/>
      <c r="C80" s="49"/>
      <c r="D80" s="30"/>
      <c r="E80" s="48"/>
      <c r="F80" s="50"/>
      <c r="G80" s="49"/>
      <c r="H80" s="30">
        <v>6</v>
      </c>
      <c r="I80" s="51" t="s">
        <v>54</v>
      </c>
      <c r="J80" s="37" t="s">
        <v>76</v>
      </c>
      <c r="K80" s="31"/>
      <c r="L80" s="32"/>
      <c r="M80" s="33"/>
      <c r="N80" s="33"/>
      <c r="O80" s="34"/>
      <c r="P80" s="35"/>
      <c r="Q80" s="36"/>
      <c r="R80" s="33"/>
      <c r="S80" s="34"/>
    </row>
    <row r="81" spans="1:19">
      <c r="A81" s="30"/>
      <c r="B81" s="48"/>
      <c r="C81" s="49"/>
      <c r="D81" s="30"/>
      <c r="E81" s="48"/>
      <c r="F81" s="50"/>
      <c r="G81" s="49"/>
      <c r="H81" s="30">
        <v>7</v>
      </c>
      <c r="I81" s="51" t="s">
        <v>56</v>
      </c>
      <c r="J81" s="37" t="s">
        <v>95</v>
      </c>
      <c r="K81" s="31"/>
      <c r="L81" s="32"/>
      <c r="M81" s="33"/>
      <c r="N81" s="33"/>
      <c r="O81" s="34"/>
      <c r="P81" s="35"/>
      <c r="Q81" s="36"/>
      <c r="R81" s="33"/>
      <c r="S81" s="34"/>
    </row>
    <row r="82" spans="1:19">
      <c r="A82" s="30"/>
      <c r="B82" s="48"/>
      <c r="C82" s="49"/>
      <c r="D82" s="30"/>
      <c r="E82" s="48"/>
      <c r="F82" s="50"/>
      <c r="G82" s="49"/>
      <c r="H82" s="30">
        <v>8</v>
      </c>
      <c r="I82" s="51" t="s">
        <v>58</v>
      </c>
      <c r="J82" s="37" t="s">
        <v>96</v>
      </c>
      <c r="K82" s="31"/>
      <c r="L82" s="32"/>
      <c r="M82" s="33"/>
      <c r="N82" s="33"/>
      <c r="O82" s="34"/>
      <c r="P82" s="35"/>
      <c r="Q82" s="36"/>
      <c r="R82" s="33"/>
      <c r="S82" s="34"/>
    </row>
    <row r="83" spans="1:19">
      <c r="A83" s="30"/>
      <c r="B83" s="48"/>
      <c r="C83" s="49"/>
      <c r="D83" s="30"/>
      <c r="E83" s="48"/>
      <c r="F83" s="50"/>
      <c r="G83" s="49"/>
      <c r="H83" s="30">
        <v>9</v>
      </c>
      <c r="I83" s="51" t="s">
        <v>60</v>
      </c>
      <c r="J83" s="37" t="s">
        <v>97</v>
      </c>
      <c r="K83" s="31"/>
      <c r="L83" s="32"/>
      <c r="M83" s="33"/>
      <c r="N83" s="33"/>
      <c r="O83" s="34"/>
      <c r="P83" s="35"/>
      <c r="Q83" s="36"/>
      <c r="R83" s="33"/>
      <c r="S83" s="34"/>
    </row>
    <row r="84" spans="1:19">
      <c r="A84" s="30"/>
      <c r="B84" s="48"/>
      <c r="C84" s="49"/>
      <c r="D84" s="30"/>
      <c r="E84" s="48"/>
      <c r="F84" s="50"/>
      <c r="G84" s="49"/>
      <c r="H84" s="30">
        <v>10</v>
      </c>
      <c r="I84" s="51" t="s">
        <v>62</v>
      </c>
      <c r="J84" s="37" t="s">
        <v>98</v>
      </c>
      <c r="K84" s="31"/>
      <c r="L84" s="32"/>
      <c r="M84" s="33"/>
      <c r="N84" s="33"/>
      <c r="O84" s="34"/>
      <c r="P84" s="35"/>
      <c r="Q84" s="36"/>
      <c r="R84" s="33"/>
      <c r="S84" s="34"/>
    </row>
    <row r="85" spans="1:19">
      <c r="A85" s="30"/>
      <c r="B85" s="48"/>
      <c r="C85" s="49"/>
      <c r="D85" s="30"/>
      <c r="E85" s="48"/>
      <c r="F85" s="50"/>
      <c r="G85" s="49"/>
      <c r="H85" s="30">
        <v>11</v>
      </c>
      <c r="I85" s="51" t="s">
        <v>64</v>
      </c>
      <c r="J85" s="37" t="s">
        <v>81</v>
      </c>
      <c r="K85" s="31"/>
      <c r="L85" s="32"/>
      <c r="M85" s="33"/>
      <c r="N85" s="33"/>
      <c r="O85" s="34"/>
      <c r="P85" s="35"/>
      <c r="Q85" s="36"/>
      <c r="R85" s="33"/>
      <c r="S85" s="34"/>
    </row>
    <row r="86" spans="1:19">
      <c r="A86" s="30"/>
      <c r="B86" s="48"/>
      <c r="C86" s="49"/>
      <c r="D86" s="30"/>
      <c r="E86" s="48"/>
      <c r="F86" s="50"/>
      <c r="G86" s="49"/>
      <c r="H86" s="30">
        <v>12</v>
      </c>
      <c r="I86" s="51" t="s">
        <v>66</v>
      </c>
      <c r="J86" s="37" t="s">
        <v>82</v>
      </c>
      <c r="K86" s="31"/>
      <c r="L86" s="32"/>
      <c r="M86" s="33"/>
      <c r="N86" s="33"/>
      <c r="O86" s="34"/>
      <c r="P86" s="35"/>
      <c r="Q86" s="36"/>
      <c r="R86" s="33"/>
      <c r="S86" s="34"/>
    </row>
    <row r="87" spans="1:19">
      <c r="A87" s="30"/>
      <c r="B87" s="48"/>
      <c r="C87" s="49"/>
      <c r="D87" s="30"/>
      <c r="E87" s="48"/>
      <c r="F87" s="50"/>
      <c r="G87" s="49"/>
      <c r="H87" s="30">
        <v>13</v>
      </c>
      <c r="I87" s="51" t="s">
        <v>68</v>
      </c>
      <c r="J87" s="37" t="s">
        <v>83</v>
      </c>
      <c r="K87" s="31"/>
      <c r="L87" s="32"/>
      <c r="M87" s="33"/>
      <c r="N87" s="33"/>
      <c r="O87" s="34"/>
      <c r="P87" s="35"/>
      <c r="Q87" s="36"/>
      <c r="R87" s="33"/>
      <c r="S87" s="34"/>
    </row>
    <row r="88" spans="1:19" ht="110.25" customHeight="1">
      <c r="A88" s="30">
        <v>7</v>
      </c>
      <c r="B88" s="57" t="s">
        <v>99</v>
      </c>
      <c r="C88" s="58"/>
      <c r="D88" s="30">
        <v>1</v>
      </c>
      <c r="E88" s="57" t="s">
        <v>43</v>
      </c>
      <c r="F88" s="59"/>
      <c r="G88" s="58"/>
      <c r="H88" s="30">
        <v>1</v>
      </c>
      <c r="I88" s="51" t="s">
        <v>44</v>
      </c>
      <c r="J88" s="37" t="s">
        <v>94</v>
      </c>
      <c r="K88" s="31"/>
      <c r="L88" s="32"/>
      <c r="M88" s="33"/>
      <c r="N88" s="33"/>
      <c r="O88" s="34"/>
      <c r="P88" s="35"/>
      <c r="Q88" s="36"/>
      <c r="R88" s="33"/>
      <c r="S88" s="34"/>
    </row>
    <row r="89" spans="1:19">
      <c r="A89" s="30"/>
      <c r="B89" s="48"/>
      <c r="C89" s="49"/>
      <c r="D89" s="30"/>
      <c r="E89" s="57"/>
      <c r="F89" s="59"/>
      <c r="G89" s="58"/>
      <c r="H89" s="30">
        <v>2</v>
      </c>
      <c r="I89" s="51" t="s">
        <v>46</v>
      </c>
      <c r="J89" s="37" t="s">
        <v>72</v>
      </c>
      <c r="K89" s="31"/>
      <c r="L89" s="32"/>
      <c r="M89" s="33"/>
      <c r="N89" s="33"/>
      <c r="O89" s="34"/>
      <c r="P89" s="35"/>
      <c r="Q89" s="36"/>
      <c r="R89" s="33"/>
      <c r="S89" s="34"/>
    </row>
    <row r="90" spans="1:19">
      <c r="A90" s="30"/>
      <c r="B90" s="48"/>
      <c r="C90" s="49"/>
      <c r="D90" s="30"/>
      <c r="E90" s="48"/>
      <c r="F90" s="50"/>
      <c r="G90" s="49"/>
      <c r="H90" s="30">
        <v>3</v>
      </c>
      <c r="I90" s="51" t="s">
        <v>48</v>
      </c>
      <c r="J90" s="37" t="s">
        <v>73</v>
      </c>
      <c r="K90" s="31"/>
      <c r="L90" s="32"/>
      <c r="M90" s="33"/>
      <c r="N90" s="33"/>
      <c r="O90" s="34"/>
      <c r="P90" s="35"/>
      <c r="Q90" s="36"/>
      <c r="R90" s="33"/>
      <c r="S90" s="34"/>
    </row>
    <row r="91" spans="1:19">
      <c r="A91" s="30"/>
      <c r="B91" s="48"/>
      <c r="C91" s="49"/>
      <c r="D91" s="30"/>
      <c r="E91" s="48"/>
      <c r="F91" s="50"/>
      <c r="G91" s="49"/>
      <c r="H91" s="30">
        <v>4</v>
      </c>
      <c r="I91" s="51" t="s">
        <v>50</v>
      </c>
      <c r="J91" s="37" t="s">
        <v>74</v>
      </c>
      <c r="K91" s="31"/>
      <c r="L91" s="32"/>
      <c r="M91" s="33"/>
      <c r="N91" s="33"/>
      <c r="O91" s="34"/>
      <c r="P91" s="35"/>
      <c r="Q91" s="36"/>
      <c r="R91" s="33"/>
      <c r="S91" s="34"/>
    </row>
    <row r="92" spans="1:19">
      <c r="A92" s="30"/>
      <c r="B92" s="48"/>
      <c r="C92" s="49"/>
      <c r="D92" s="30"/>
      <c r="E92" s="48"/>
      <c r="F92" s="50"/>
      <c r="G92" s="49"/>
      <c r="H92" s="30">
        <v>5</v>
      </c>
      <c r="I92" s="51" t="s">
        <v>52</v>
      </c>
      <c r="J92" s="37" t="s">
        <v>75</v>
      </c>
      <c r="K92" s="31"/>
      <c r="L92" s="32"/>
      <c r="M92" s="33"/>
      <c r="N92" s="33"/>
      <c r="O92" s="34"/>
      <c r="P92" s="35"/>
      <c r="Q92" s="36"/>
      <c r="R92" s="33"/>
      <c r="S92" s="34"/>
    </row>
    <row r="93" spans="1:19">
      <c r="A93" s="30"/>
      <c r="B93" s="48"/>
      <c r="C93" s="49"/>
      <c r="D93" s="30"/>
      <c r="E93" s="48"/>
      <c r="F93" s="50"/>
      <c r="G93" s="49"/>
      <c r="H93" s="30">
        <v>6</v>
      </c>
      <c r="I93" s="51" t="s">
        <v>54</v>
      </c>
      <c r="J93" s="37" t="s">
        <v>76</v>
      </c>
      <c r="K93" s="31"/>
      <c r="L93" s="32"/>
      <c r="M93" s="33"/>
      <c r="N93" s="33"/>
      <c r="O93" s="34"/>
      <c r="P93" s="35"/>
      <c r="Q93" s="36"/>
      <c r="R93" s="33"/>
      <c r="S93" s="34"/>
    </row>
    <row r="94" spans="1:19">
      <c r="A94" s="30"/>
      <c r="B94" s="48"/>
      <c r="C94" s="49"/>
      <c r="D94" s="30"/>
      <c r="E94" s="48"/>
      <c r="F94" s="50"/>
      <c r="G94" s="49"/>
      <c r="H94" s="30">
        <v>7</v>
      </c>
      <c r="I94" s="51" t="s">
        <v>56</v>
      </c>
      <c r="J94" s="37" t="s">
        <v>95</v>
      </c>
      <c r="K94" s="31"/>
      <c r="L94" s="32"/>
      <c r="M94" s="33"/>
      <c r="N94" s="33"/>
      <c r="O94" s="34"/>
      <c r="P94" s="35"/>
      <c r="Q94" s="36"/>
      <c r="R94" s="33"/>
      <c r="S94" s="34"/>
    </row>
    <row r="95" spans="1:19">
      <c r="A95" s="30"/>
      <c r="B95" s="48"/>
      <c r="C95" s="49"/>
      <c r="D95" s="30"/>
      <c r="E95" s="48"/>
      <c r="F95" s="50"/>
      <c r="G95" s="49"/>
      <c r="H95" s="30">
        <v>8</v>
      </c>
      <c r="I95" s="51" t="s">
        <v>58</v>
      </c>
      <c r="J95" s="37" t="s">
        <v>96</v>
      </c>
      <c r="K95" s="31"/>
      <c r="L95" s="32"/>
      <c r="M95" s="33"/>
      <c r="N95" s="33"/>
      <c r="O95" s="34"/>
      <c r="P95" s="35"/>
      <c r="Q95" s="36"/>
      <c r="R95" s="33"/>
      <c r="S95" s="34"/>
    </row>
    <row r="96" spans="1:19">
      <c r="A96" s="30"/>
      <c r="B96" s="48"/>
      <c r="C96" s="49"/>
      <c r="D96" s="30"/>
      <c r="E96" s="48"/>
      <c r="F96" s="50"/>
      <c r="G96" s="49"/>
      <c r="H96" s="30">
        <v>9</v>
      </c>
      <c r="I96" s="51" t="s">
        <v>60</v>
      </c>
      <c r="J96" s="37" t="s">
        <v>97</v>
      </c>
      <c r="K96" s="31"/>
      <c r="L96" s="32"/>
      <c r="M96" s="33"/>
      <c r="N96" s="33"/>
      <c r="O96" s="34"/>
      <c r="P96" s="35"/>
      <c r="Q96" s="36"/>
      <c r="R96" s="33"/>
      <c r="S96" s="34"/>
    </row>
    <row r="97" spans="1:19">
      <c r="A97" s="30"/>
      <c r="B97" s="48"/>
      <c r="C97" s="49"/>
      <c r="D97" s="30"/>
      <c r="E97" s="48"/>
      <c r="F97" s="50"/>
      <c r="G97" s="49"/>
      <c r="H97" s="30">
        <v>10</v>
      </c>
      <c r="I97" s="51" t="s">
        <v>62</v>
      </c>
      <c r="J97" s="37" t="s">
        <v>98</v>
      </c>
      <c r="K97" s="31"/>
      <c r="L97" s="32"/>
      <c r="M97" s="33"/>
      <c r="N97" s="33"/>
      <c r="O97" s="34"/>
      <c r="P97" s="35"/>
      <c r="Q97" s="36"/>
      <c r="R97" s="33"/>
      <c r="S97" s="34"/>
    </row>
    <row r="98" spans="1:19">
      <c r="A98" s="30"/>
      <c r="B98" s="48"/>
      <c r="C98" s="49"/>
      <c r="D98" s="30"/>
      <c r="E98" s="48"/>
      <c r="F98" s="50"/>
      <c r="G98" s="49"/>
      <c r="H98" s="30">
        <v>11</v>
      </c>
      <c r="I98" s="51" t="s">
        <v>64</v>
      </c>
      <c r="J98" s="37" t="s">
        <v>81</v>
      </c>
      <c r="K98" s="31"/>
      <c r="L98" s="32"/>
      <c r="M98" s="33"/>
      <c r="N98" s="33"/>
      <c r="O98" s="34"/>
      <c r="P98" s="35"/>
      <c r="Q98" s="36"/>
      <c r="R98" s="33"/>
      <c r="S98" s="34"/>
    </row>
    <row r="99" spans="1:19">
      <c r="A99" s="30"/>
      <c r="B99" s="48"/>
      <c r="C99" s="49"/>
      <c r="D99" s="30"/>
      <c r="E99" s="48"/>
      <c r="F99" s="50"/>
      <c r="G99" s="49"/>
      <c r="H99" s="30">
        <v>12</v>
      </c>
      <c r="I99" s="51" t="s">
        <v>66</v>
      </c>
      <c r="J99" s="37" t="s">
        <v>82</v>
      </c>
      <c r="K99" s="31"/>
      <c r="L99" s="32"/>
      <c r="M99" s="33"/>
      <c r="N99" s="33"/>
      <c r="O99" s="34"/>
      <c r="P99" s="35"/>
      <c r="Q99" s="36"/>
      <c r="R99" s="33"/>
      <c r="S99" s="34"/>
    </row>
    <row r="100" spans="1:19">
      <c r="A100" s="30"/>
      <c r="B100" s="48"/>
      <c r="C100" s="49"/>
      <c r="D100" s="30"/>
      <c r="E100" s="48"/>
      <c r="F100" s="50"/>
      <c r="G100" s="49"/>
      <c r="H100" s="30">
        <v>13</v>
      </c>
      <c r="I100" s="51" t="s">
        <v>68</v>
      </c>
      <c r="J100" s="37" t="s">
        <v>83</v>
      </c>
      <c r="K100" s="31"/>
      <c r="L100" s="32"/>
      <c r="M100" s="33"/>
      <c r="N100" s="33"/>
      <c r="O100" s="34"/>
      <c r="P100" s="35"/>
      <c r="Q100" s="36"/>
      <c r="R100" s="33"/>
      <c r="S100" s="34"/>
    </row>
    <row r="101" spans="1:19" ht="93" customHeight="1">
      <c r="A101" s="30">
        <v>8</v>
      </c>
      <c r="B101" s="57" t="s">
        <v>100</v>
      </c>
      <c r="C101" s="58"/>
      <c r="D101" s="30">
        <v>1</v>
      </c>
      <c r="E101" s="57" t="s">
        <v>43</v>
      </c>
      <c r="F101" s="59"/>
      <c r="G101" s="58"/>
      <c r="H101" s="30">
        <v>1</v>
      </c>
      <c r="I101" s="51" t="s">
        <v>44</v>
      </c>
      <c r="J101" s="37" t="s">
        <v>86</v>
      </c>
      <c r="K101" s="31"/>
      <c r="L101" s="32"/>
      <c r="M101" s="33"/>
      <c r="N101" s="33"/>
      <c r="O101" s="34"/>
      <c r="P101" s="35"/>
      <c r="Q101" s="36"/>
      <c r="R101" s="33"/>
      <c r="S101" s="34"/>
    </row>
    <row r="102" spans="1:19">
      <c r="A102" s="30"/>
      <c r="B102" s="48"/>
      <c r="C102" s="49"/>
      <c r="D102" s="30"/>
      <c r="E102" s="48"/>
      <c r="F102" s="50"/>
      <c r="G102" s="49"/>
      <c r="H102" s="30"/>
      <c r="I102" s="51"/>
      <c r="J102" s="37"/>
      <c r="K102" s="31"/>
      <c r="L102" s="32"/>
      <c r="M102" s="33"/>
      <c r="N102" s="33"/>
      <c r="O102" s="34"/>
      <c r="P102" s="35"/>
      <c r="Q102" s="36"/>
      <c r="R102" s="33"/>
      <c r="S102" s="34"/>
    </row>
    <row r="103" spans="1:19" ht="31.5" customHeight="1">
      <c r="A103" s="38"/>
      <c r="B103" s="78"/>
      <c r="C103" s="79"/>
      <c r="D103" s="38"/>
      <c r="E103" s="78"/>
      <c r="F103" s="80"/>
      <c r="G103" s="79"/>
      <c r="H103" s="38"/>
      <c r="I103" s="46"/>
      <c r="J103" s="39"/>
      <c r="K103" s="40"/>
      <c r="L103" s="41"/>
      <c r="M103" s="42"/>
      <c r="N103" s="42"/>
      <c r="O103" s="43"/>
      <c r="P103" s="44"/>
      <c r="Q103" s="45"/>
      <c r="R103" s="42"/>
      <c r="S103" s="43"/>
    </row>
    <row r="106" spans="1:19">
      <c r="J106" s="8">
        <f>COUNTA(J6:J103)</f>
        <v>96</v>
      </c>
      <c r="L106" s="8" t="s">
        <v>101</v>
      </c>
      <c r="M106" s="8">
        <f>COUNTIF($M$6:$M$103,L106)</f>
        <v>0</v>
      </c>
    </row>
    <row r="107" spans="1:19">
      <c r="L107" s="8" t="s">
        <v>102</v>
      </c>
      <c r="M107" s="8">
        <f>COUNTIF($M$6:$M$103,L107)</f>
        <v>0</v>
      </c>
    </row>
    <row r="108" spans="1:19">
      <c r="L108" s="8" t="s">
        <v>103</v>
      </c>
      <c r="M108" s="8">
        <f>J106-(M106+M107)</f>
        <v>96</v>
      </c>
    </row>
  </sheetData>
  <mergeCells count="46">
    <mergeCell ref="B101:C101"/>
    <mergeCell ref="E101:G101"/>
    <mergeCell ref="B75:C75"/>
    <mergeCell ref="E75:G75"/>
    <mergeCell ref="E76:G76"/>
    <mergeCell ref="B88:C88"/>
    <mergeCell ref="E88:G88"/>
    <mergeCell ref="A1:B1"/>
    <mergeCell ref="E1:F1"/>
    <mergeCell ref="G1:I1"/>
    <mergeCell ref="B103:C103"/>
    <mergeCell ref="E103:G103"/>
    <mergeCell ref="A2:B2"/>
    <mergeCell ref="E2:F3"/>
    <mergeCell ref="G2:I2"/>
    <mergeCell ref="B6:C6"/>
    <mergeCell ref="E6:G6"/>
    <mergeCell ref="A3:B3"/>
    <mergeCell ref="E8:G8"/>
    <mergeCell ref="E15:G15"/>
    <mergeCell ref="E14:G14"/>
    <mergeCell ref="B27:C27"/>
    <mergeCell ref="E27:G27"/>
    <mergeCell ref="G3:I3"/>
    <mergeCell ref="P3:Q3"/>
    <mergeCell ref="R3:S3"/>
    <mergeCell ref="E53:G53"/>
    <mergeCell ref="P1:Q1"/>
    <mergeCell ref="R1:S1"/>
    <mergeCell ref="P2:Q2"/>
    <mergeCell ref="R2:S2"/>
    <mergeCell ref="E28:G28"/>
    <mergeCell ref="E40:G40"/>
    <mergeCell ref="E63:G63"/>
    <mergeCell ref="E89:G89"/>
    <mergeCell ref="B7:C7"/>
    <mergeCell ref="E7:G7"/>
    <mergeCell ref="E41:G41"/>
    <mergeCell ref="B53:C53"/>
    <mergeCell ref="B40:C40"/>
    <mergeCell ref="B54:C54"/>
    <mergeCell ref="B55:C55"/>
    <mergeCell ref="E55:G55"/>
    <mergeCell ref="E56:G56"/>
    <mergeCell ref="E62:G62"/>
    <mergeCell ref="E54:G54"/>
  </mergeCells>
  <phoneticPr fontId="1"/>
  <dataValidations count="3">
    <dataValidation imeMode="off" allowBlank="1" showInputMessage="1" showErrorMessage="1" sqref="R1:S3 K6:L103 S6:S103 O6:O103" xr:uid="{B2C22AC8-5F1C-4DC9-A157-7A6CD02C8733}"/>
    <dataValidation imeMode="off" allowBlank="1" showInputMessage="1" showErrorMessage="1" prompt="集計ツールを使用する場合、テストケースNoは、英数字で入力してください" sqref="A6:A103 D6:D103 H6:H103" xr:uid="{832B0AD3-6D8D-4EBB-AA4F-0DCA68B57FB4}"/>
    <dataValidation type="list" allowBlank="1" showInputMessage="1" showErrorMessage="1" sqref="M6:M103" xr:uid="{B0332EAE-3949-4D23-9852-E9F37FEC20FC}">
      <formula1>"合格,不合格"</formula1>
    </dataValidation>
  </dataValidations>
  <printOptions horizontalCentered="1"/>
  <pageMargins left="0.39370078740157483" right="0.39370078740157483" top="0.78740157480314965" bottom="0.59055118110236227" header="0.39370078740157483" footer="0.39370078740157483"/>
  <pageSetup paperSize="9" scale="72" fitToHeight="0" orientation="landscape" r:id="rId1"/>
  <headerFooter alignWithMargins="0">
    <oddHeader>&amp;R&amp;U関係者外秘
【○○限り】&amp;11&amp;U
&amp;A  &amp;P / &amp;N ﾍﾟｰｼﾞ</oddHeader>
    <oddFooter>&amp;L&amp;"ＭＳ Ｐ明朝,標準"Copyright(c) 2006-2007 TIS Inc.&amp;C&amp;"ＭＳ Ｐ明朝,標準"&amp;P&amp;R&amp;"ＭＳ Ｐ明朝,標準"TIS標準プロセス様式　IZ323　Ver1.0.2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CCC74-2262-484E-B10E-1126EC67A53B}">
  <sheetPr>
    <pageSetUpPr fitToPage="1"/>
  </sheetPr>
  <dimension ref="A1:S79"/>
  <sheetViews>
    <sheetView showGridLines="0" topLeftCell="A11" workbookViewId="0">
      <selection activeCell="J20" sqref="J20"/>
    </sheetView>
  </sheetViews>
  <sheetFormatPr defaultColWidth="9.33203125" defaultRowHeight="15.75"/>
  <cols>
    <col min="1" max="1" width="4.83203125" style="8" customWidth="1"/>
    <col min="2" max="2" width="6.83203125" style="8" customWidth="1"/>
    <col min="3" max="3" width="16.83203125" style="8" customWidth="1"/>
    <col min="4" max="4" width="4.83203125" style="8" customWidth="1"/>
    <col min="5" max="6" width="5.83203125" style="8" customWidth="1"/>
    <col min="7" max="7" width="12.83203125" style="8" customWidth="1"/>
    <col min="8" max="8" width="4.83203125" style="8" customWidth="1"/>
    <col min="9" max="9" width="50.83203125" style="8" customWidth="1"/>
    <col min="10" max="10" width="93.6640625" style="8" customWidth="1"/>
    <col min="11" max="12" width="7.83203125" style="8" customWidth="1"/>
    <col min="13" max="13" width="7.33203125" style="8" customWidth="1"/>
    <col min="14" max="15" width="7.83203125" style="8" customWidth="1"/>
    <col min="16" max="16" width="29.5" style="8" customWidth="1"/>
    <col min="17" max="17" width="9.83203125" style="8" customWidth="1"/>
    <col min="18" max="19" width="7.83203125" style="8" customWidth="1"/>
    <col min="20" max="16384" width="9.33203125" style="8"/>
  </cols>
  <sheetData>
    <row r="1" spans="1:19" ht="16.5">
      <c r="A1" s="60" t="s">
        <v>0</v>
      </c>
      <c r="B1" s="61"/>
      <c r="C1" s="1" t="s">
        <v>1</v>
      </c>
      <c r="D1" s="2"/>
      <c r="E1" s="62" t="s">
        <v>2</v>
      </c>
      <c r="F1" s="63"/>
      <c r="G1" s="64" t="s">
        <v>3</v>
      </c>
      <c r="H1" s="65"/>
      <c r="I1" s="61"/>
      <c r="J1" s="3"/>
      <c r="K1" s="4"/>
      <c r="L1" s="4"/>
      <c r="M1" s="5"/>
      <c r="N1" s="6"/>
      <c r="O1" s="7" t="s">
        <v>4</v>
      </c>
      <c r="P1" s="64" t="s">
        <v>5</v>
      </c>
      <c r="Q1" s="61"/>
      <c r="R1" s="55">
        <v>46153</v>
      </c>
      <c r="S1" s="56"/>
    </row>
    <row r="2" spans="1:19" ht="16.5">
      <c r="A2" s="60" t="s">
        <v>6</v>
      </c>
      <c r="B2" s="61"/>
      <c r="C2" s="1"/>
      <c r="D2" s="2"/>
      <c r="E2" s="66" t="s">
        <v>7</v>
      </c>
      <c r="F2" s="67"/>
      <c r="G2" s="70" t="s">
        <v>8</v>
      </c>
      <c r="H2" s="71"/>
      <c r="I2" s="72"/>
      <c r="J2" s="9"/>
      <c r="K2" s="10"/>
      <c r="L2" s="10"/>
      <c r="M2" s="11"/>
      <c r="N2" s="12"/>
      <c r="O2" s="7" t="s">
        <v>9</v>
      </c>
      <c r="P2" s="64"/>
      <c r="Q2" s="61"/>
      <c r="R2" s="55" t="s">
        <v>10</v>
      </c>
      <c r="S2" s="56"/>
    </row>
    <row r="3" spans="1:19" ht="16.5">
      <c r="A3" s="60" t="s">
        <v>11</v>
      </c>
      <c r="B3" s="61"/>
      <c r="C3" s="1" t="s">
        <v>12</v>
      </c>
      <c r="D3" s="2"/>
      <c r="E3" s="68"/>
      <c r="F3" s="69"/>
      <c r="G3" s="68"/>
      <c r="H3" s="73"/>
      <c r="I3" s="74"/>
      <c r="J3" s="13"/>
      <c r="K3" s="14"/>
      <c r="L3" s="14"/>
      <c r="M3" s="15"/>
      <c r="N3" s="16"/>
      <c r="O3" s="7" t="s">
        <v>13</v>
      </c>
      <c r="P3" s="64"/>
      <c r="Q3" s="61"/>
      <c r="R3" s="55" t="s">
        <v>10</v>
      </c>
      <c r="S3" s="56"/>
    </row>
    <row r="4" spans="1:19">
      <c r="A4" s="17" t="s">
        <v>14</v>
      </c>
    </row>
    <row r="5" spans="1:19" ht="33.75" thickBot="1">
      <c r="A5" s="18" t="s">
        <v>15</v>
      </c>
      <c r="B5" s="19" t="s">
        <v>16</v>
      </c>
      <c r="C5" s="20"/>
      <c r="D5" s="18" t="s">
        <v>15</v>
      </c>
      <c r="E5" s="19" t="s">
        <v>17</v>
      </c>
      <c r="F5" s="21"/>
      <c r="G5" s="20"/>
      <c r="H5" s="22" t="s">
        <v>15</v>
      </c>
      <c r="I5" s="23" t="s">
        <v>18</v>
      </c>
      <c r="J5" s="24" t="s">
        <v>19</v>
      </c>
      <c r="K5" s="25" t="s">
        <v>20</v>
      </c>
      <c r="L5" s="26" t="s">
        <v>21</v>
      </c>
      <c r="M5" s="27" t="s">
        <v>22</v>
      </c>
      <c r="N5" s="27" t="s">
        <v>23</v>
      </c>
      <c r="O5" s="27" t="s">
        <v>24</v>
      </c>
      <c r="P5" s="27" t="s">
        <v>25</v>
      </c>
      <c r="Q5" s="28" t="s">
        <v>26</v>
      </c>
      <c r="R5" s="29" t="s">
        <v>27</v>
      </c>
      <c r="S5" s="20" t="s">
        <v>28</v>
      </c>
    </row>
    <row r="6" spans="1:19" ht="126.75" thickTop="1">
      <c r="A6" s="30">
        <v>1</v>
      </c>
      <c r="B6" s="57" t="s">
        <v>104</v>
      </c>
      <c r="C6" s="58"/>
      <c r="D6" s="30">
        <v>1</v>
      </c>
      <c r="E6" s="57" t="s">
        <v>30</v>
      </c>
      <c r="F6" s="59"/>
      <c r="G6" s="58"/>
      <c r="H6" s="30">
        <v>1</v>
      </c>
      <c r="I6" s="47" t="s">
        <v>31</v>
      </c>
      <c r="J6" s="37" t="s">
        <v>32</v>
      </c>
      <c r="K6" s="31"/>
      <c r="L6" s="32"/>
      <c r="M6" s="33"/>
      <c r="N6" s="33"/>
      <c r="O6" s="34"/>
      <c r="P6" s="35"/>
      <c r="Q6" s="36"/>
      <c r="R6" s="33"/>
      <c r="S6" s="34"/>
    </row>
    <row r="7" spans="1:19" ht="126">
      <c r="A7" s="30"/>
      <c r="B7" s="57"/>
      <c r="C7" s="58"/>
      <c r="D7" s="30"/>
      <c r="E7" s="57"/>
      <c r="F7" s="59"/>
      <c r="G7" s="58"/>
      <c r="H7" s="30">
        <v>2</v>
      </c>
      <c r="I7" s="51" t="s">
        <v>33</v>
      </c>
      <c r="J7" s="37" t="s">
        <v>32</v>
      </c>
      <c r="K7" s="31"/>
      <c r="L7" s="32"/>
      <c r="M7" s="33"/>
      <c r="N7" s="33"/>
      <c r="O7" s="34"/>
      <c r="P7" s="35"/>
      <c r="Q7" s="36"/>
      <c r="R7" s="33"/>
      <c r="S7" s="34"/>
    </row>
    <row r="8" spans="1:19">
      <c r="A8" s="30"/>
      <c r="B8" s="48"/>
      <c r="C8" s="49"/>
      <c r="D8" s="30"/>
      <c r="E8" s="75"/>
      <c r="F8" s="76"/>
      <c r="G8" s="77"/>
      <c r="H8" s="30">
        <v>3</v>
      </c>
      <c r="I8" s="51" t="s">
        <v>34</v>
      </c>
      <c r="J8" s="37" t="s">
        <v>35</v>
      </c>
      <c r="K8" s="31"/>
      <c r="L8" s="32"/>
      <c r="M8" s="33"/>
      <c r="N8" s="33"/>
      <c r="O8" s="34"/>
      <c r="P8" s="35"/>
      <c r="Q8" s="36"/>
      <c r="R8" s="33"/>
      <c r="S8" s="34"/>
    </row>
    <row r="9" spans="1:19">
      <c r="A9" s="30"/>
      <c r="B9" s="48"/>
      <c r="C9" s="49"/>
      <c r="D9" s="30"/>
      <c r="E9" s="48"/>
      <c r="F9" s="50"/>
      <c r="G9" s="49"/>
      <c r="H9" s="30">
        <v>4</v>
      </c>
      <c r="I9" s="51" t="s">
        <v>36</v>
      </c>
      <c r="J9" s="37" t="s">
        <v>35</v>
      </c>
      <c r="K9" s="31"/>
      <c r="L9" s="32"/>
      <c r="M9" s="33"/>
      <c r="N9" s="33"/>
      <c r="O9" s="34"/>
      <c r="P9" s="35"/>
      <c r="Q9" s="36"/>
      <c r="R9" s="33"/>
      <c r="S9" s="34"/>
    </row>
    <row r="10" spans="1:19">
      <c r="A10" s="30"/>
      <c r="B10" s="48"/>
      <c r="C10" s="49"/>
      <c r="D10" s="30"/>
      <c r="E10" s="48"/>
      <c r="F10" s="50"/>
      <c r="G10" s="49"/>
      <c r="H10" s="30">
        <v>5</v>
      </c>
      <c r="I10" s="51" t="s">
        <v>105</v>
      </c>
      <c r="J10" s="37" t="s">
        <v>40</v>
      </c>
      <c r="K10" s="31"/>
      <c r="L10" s="32"/>
      <c r="M10" s="33"/>
      <c r="N10" s="33"/>
      <c r="O10" s="34"/>
      <c r="P10" s="35"/>
      <c r="Q10" s="36"/>
      <c r="R10" s="33"/>
      <c r="S10" s="34"/>
    </row>
    <row r="11" spans="1:19">
      <c r="A11" s="30"/>
      <c r="B11" s="48"/>
      <c r="C11" s="49"/>
      <c r="D11" s="30"/>
      <c r="E11" s="48"/>
      <c r="F11" s="50"/>
      <c r="G11" s="49"/>
      <c r="H11" s="30">
        <v>6</v>
      </c>
      <c r="I11" s="51" t="s">
        <v>106</v>
      </c>
      <c r="J11" s="37" t="s">
        <v>40</v>
      </c>
      <c r="K11" s="31"/>
      <c r="L11" s="32"/>
      <c r="M11" s="33"/>
      <c r="N11" s="33"/>
      <c r="O11" s="34"/>
      <c r="P11" s="35"/>
      <c r="Q11" s="36"/>
      <c r="R11" s="33"/>
      <c r="S11" s="34"/>
    </row>
    <row r="12" spans="1:19">
      <c r="A12" s="30"/>
      <c r="B12" s="48"/>
      <c r="C12" s="49"/>
      <c r="D12" s="30"/>
      <c r="E12" s="48"/>
      <c r="F12" s="50"/>
      <c r="G12" s="49"/>
      <c r="H12" s="30">
        <v>7</v>
      </c>
      <c r="I12" s="51" t="s">
        <v>107</v>
      </c>
      <c r="J12" s="37" t="s">
        <v>40</v>
      </c>
      <c r="K12" s="31"/>
      <c r="L12" s="32"/>
      <c r="M12" s="33"/>
      <c r="N12" s="33"/>
      <c r="O12" s="34"/>
      <c r="P12" s="35"/>
      <c r="Q12" s="36"/>
      <c r="R12" s="33"/>
      <c r="S12" s="34"/>
    </row>
    <row r="13" spans="1:19" ht="78.75">
      <c r="A13" s="30"/>
      <c r="B13" s="48"/>
      <c r="C13" s="49"/>
      <c r="D13" s="30">
        <v>2</v>
      </c>
      <c r="E13" s="57" t="s">
        <v>43</v>
      </c>
      <c r="F13" s="59"/>
      <c r="G13" s="58"/>
      <c r="H13" s="30">
        <v>1</v>
      </c>
      <c r="I13" s="51" t="s">
        <v>44</v>
      </c>
      <c r="J13" s="37" t="s">
        <v>108</v>
      </c>
      <c r="K13" s="31"/>
      <c r="L13" s="32"/>
      <c r="M13" s="33"/>
      <c r="N13" s="33"/>
      <c r="O13" s="34"/>
      <c r="P13" s="35"/>
      <c r="Q13" s="36"/>
      <c r="R13" s="33"/>
      <c r="S13" s="34"/>
    </row>
    <row r="14" spans="1:19" ht="31.5">
      <c r="A14" s="30"/>
      <c r="B14" s="48"/>
      <c r="C14" s="49"/>
      <c r="D14" s="30"/>
      <c r="E14" s="57"/>
      <c r="F14" s="59"/>
      <c r="G14" s="58"/>
      <c r="H14" s="30">
        <v>2</v>
      </c>
      <c r="I14" s="51" t="s">
        <v>46</v>
      </c>
      <c r="J14" s="37" t="s">
        <v>109</v>
      </c>
      <c r="K14" s="31"/>
      <c r="L14" s="32"/>
      <c r="M14" s="33"/>
      <c r="N14" s="33"/>
      <c r="O14" s="34"/>
      <c r="P14" s="35"/>
      <c r="Q14" s="36"/>
      <c r="R14" s="33"/>
      <c r="S14" s="34"/>
    </row>
    <row r="15" spans="1:19" ht="31.5">
      <c r="A15" s="30"/>
      <c r="B15" s="48"/>
      <c r="C15" s="49"/>
      <c r="D15" s="30"/>
      <c r="E15" s="48"/>
      <c r="F15" s="50"/>
      <c r="G15" s="49"/>
      <c r="H15" s="30">
        <v>3</v>
      </c>
      <c r="I15" s="51" t="s">
        <v>48</v>
      </c>
      <c r="J15" s="37" t="s">
        <v>110</v>
      </c>
      <c r="K15" s="31"/>
      <c r="L15" s="32"/>
      <c r="M15" s="33"/>
      <c r="N15" s="33"/>
      <c r="O15" s="34"/>
      <c r="P15" s="35"/>
      <c r="Q15" s="36"/>
      <c r="R15" s="33"/>
      <c r="S15" s="34"/>
    </row>
    <row r="16" spans="1:19" ht="31.5">
      <c r="A16" s="30"/>
      <c r="B16" s="48"/>
      <c r="C16" s="49"/>
      <c r="D16" s="30"/>
      <c r="E16" s="48"/>
      <c r="F16" s="50"/>
      <c r="G16" s="49"/>
      <c r="H16" s="30">
        <v>4</v>
      </c>
      <c r="I16" s="51" t="s">
        <v>50</v>
      </c>
      <c r="J16" s="37" t="s">
        <v>111</v>
      </c>
      <c r="K16" s="31"/>
      <c r="L16" s="32"/>
      <c r="M16" s="33"/>
      <c r="N16" s="33"/>
      <c r="O16" s="34"/>
      <c r="P16" s="35"/>
      <c r="Q16" s="36"/>
      <c r="R16" s="33"/>
      <c r="S16" s="34"/>
    </row>
    <row r="17" spans="1:19" ht="31.5">
      <c r="A17" s="30"/>
      <c r="B17" s="48"/>
      <c r="C17" s="49"/>
      <c r="D17" s="30"/>
      <c r="E17" s="48"/>
      <c r="F17" s="50"/>
      <c r="G17" s="49"/>
      <c r="H17" s="30">
        <v>5</v>
      </c>
      <c r="I17" s="51" t="s">
        <v>52</v>
      </c>
      <c r="J17" s="37" t="s">
        <v>112</v>
      </c>
      <c r="K17" s="31"/>
      <c r="L17" s="32"/>
      <c r="M17" s="33"/>
      <c r="N17" s="33"/>
      <c r="O17" s="34"/>
      <c r="P17" s="35"/>
      <c r="Q17" s="36"/>
      <c r="R17" s="33"/>
      <c r="S17" s="34"/>
    </row>
    <row r="18" spans="1:19" ht="31.5">
      <c r="A18" s="30"/>
      <c r="B18" s="48"/>
      <c r="C18" s="49"/>
      <c r="D18" s="30"/>
      <c r="E18" s="48"/>
      <c r="F18" s="50"/>
      <c r="G18" s="49"/>
      <c r="H18" s="30">
        <v>6</v>
      </c>
      <c r="I18" s="51" t="s">
        <v>54</v>
      </c>
      <c r="J18" s="37" t="s">
        <v>113</v>
      </c>
      <c r="K18" s="31"/>
      <c r="L18" s="32"/>
      <c r="M18" s="33"/>
      <c r="N18" s="33"/>
      <c r="O18" s="34"/>
      <c r="P18" s="35"/>
      <c r="Q18" s="36"/>
      <c r="R18" s="33"/>
      <c r="S18" s="34"/>
    </row>
    <row r="19" spans="1:19" ht="94.5">
      <c r="A19" s="30"/>
      <c r="B19" s="48"/>
      <c r="C19" s="49"/>
      <c r="D19" s="30"/>
      <c r="E19" s="48"/>
      <c r="F19" s="50"/>
      <c r="G19" s="49"/>
      <c r="H19" s="30">
        <v>7</v>
      </c>
      <c r="I19" s="51" t="s">
        <v>56</v>
      </c>
      <c r="J19" s="37" t="s">
        <v>114</v>
      </c>
      <c r="K19" s="31"/>
      <c r="L19" s="32"/>
      <c r="M19" s="33"/>
      <c r="N19" s="33"/>
      <c r="O19" s="34"/>
      <c r="P19" s="35"/>
      <c r="Q19" s="36"/>
      <c r="R19" s="33"/>
      <c r="S19" s="34"/>
    </row>
    <row r="20" spans="1:19" ht="110.25">
      <c r="A20" s="30"/>
      <c r="B20" s="48"/>
      <c r="C20" s="49"/>
      <c r="D20" s="30"/>
      <c r="E20" s="48"/>
      <c r="F20" s="50"/>
      <c r="G20" s="49"/>
      <c r="H20" s="30">
        <v>8</v>
      </c>
      <c r="I20" s="51" t="s">
        <v>58</v>
      </c>
      <c r="J20" s="37" t="s">
        <v>115</v>
      </c>
      <c r="K20" s="31"/>
      <c r="L20" s="32"/>
      <c r="M20" s="33"/>
      <c r="N20" s="33"/>
      <c r="O20" s="34"/>
      <c r="P20" s="35"/>
      <c r="Q20" s="36"/>
      <c r="R20" s="33"/>
      <c r="S20" s="34"/>
    </row>
    <row r="21" spans="1:19" ht="110.25">
      <c r="A21" s="30"/>
      <c r="B21" s="48"/>
      <c r="C21" s="49"/>
      <c r="D21" s="30"/>
      <c r="E21" s="48"/>
      <c r="F21" s="50"/>
      <c r="G21" s="49"/>
      <c r="H21" s="30">
        <v>9</v>
      </c>
      <c r="I21" s="51" t="s">
        <v>60</v>
      </c>
      <c r="J21" s="37" t="s">
        <v>115</v>
      </c>
      <c r="K21" s="31"/>
      <c r="L21" s="32"/>
      <c r="M21" s="33"/>
      <c r="N21" s="33"/>
      <c r="O21" s="34"/>
      <c r="P21" s="35"/>
      <c r="Q21" s="36"/>
      <c r="R21" s="33"/>
      <c r="S21" s="34"/>
    </row>
    <row r="22" spans="1:19" ht="126">
      <c r="A22" s="30"/>
      <c r="B22" s="48"/>
      <c r="C22" s="49"/>
      <c r="D22" s="30"/>
      <c r="E22" s="48"/>
      <c r="F22" s="50"/>
      <c r="G22" s="49"/>
      <c r="H22" s="30">
        <v>10</v>
      </c>
      <c r="I22" s="51" t="s">
        <v>62</v>
      </c>
      <c r="J22" s="37" t="s">
        <v>116</v>
      </c>
      <c r="K22" s="31"/>
      <c r="L22" s="32"/>
      <c r="M22" s="33"/>
      <c r="N22" s="33"/>
      <c r="O22" s="34"/>
      <c r="P22" s="35"/>
      <c r="Q22" s="36"/>
      <c r="R22" s="33"/>
      <c r="S22" s="34"/>
    </row>
    <row r="23" spans="1:19" ht="31.5">
      <c r="A23" s="30"/>
      <c r="B23" s="48"/>
      <c r="C23" s="49"/>
      <c r="D23" s="30"/>
      <c r="E23" s="48"/>
      <c r="F23" s="50"/>
      <c r="G23" s="49"/>
      <c r="H23" s="30">
        <v>11</v>
      </c>
      <c r="I23" s="51" t="s">
        <v>64</v>
      </c>
      <c r="J23" s="37" t="s">
        <v>117</v>
      </c>
      <c r="K23" s="31"/>
      <c r="L23" s="32"/>
      <c r="M23" s="33"/>
      <c r="N23" s="33"/>
      <c r="O23" s="34"/>
      <c r="P23" s="35"/>
      <c r="Q23" s="36"/>
      <c r="R23" s="33"/>
      <c r="S23" s="34"/>
    </row>
    <row r="24" spans="1:19" ht="31.5">
      <c r="A24" s="30"/>
      <c r="B24" s="48"/>
      <c r="C24" s="49"/>
      <c r="D24" s="30"/>
      <c r="E24" s="48"/>
      <c r="F24" s="50"/>
      <c r="G24" s="49"/>
      <c r="H24" s="30">
        <v>12</v>
      </c>
      <c r="I24" s="51" t="s">
        <v>66</v>
      </c>
      <c r="J24" s="37" t="s">
        <v>118</v>
      </c>
      <c r="K24" s="31"/>
      <c r="L24" s="32"/>
      <c r="M24" s="33"/>
      <c r="N24" s="33"/>
      <c r="O24" s="34"/>
      <c r="P24" s="35"/>
      <c r="Q24" s="36"/>
      <c r="R24" s="33"/>
      <c r="S24" s="34"/>
    </row>
    <row r="25" spans="1:19" ht="31.5">
      <c r="A25" s="30"/>
      <c r="B25" s="48"/>
      <c r="C25" s="49"/>
      <c r="D25" s="30"/>
      <c r="E25" s="48"/>
      <c r="F25" s="50"/>
      <c r="G25" s="49"/>
      <c r="H25" s="30">
        <v>13</v>
      </c>
      <c r="I25" s="51" t="s">
        <v>68</v>
      </c>
      <c r="J25" s="37" t="s">
        <v>119</v>
      </c>
      <c r="K25" s="31"/>
      <c r="L25" s="32"/>
      <c r="M25" s="33"/>
      <c r="N25" s="33"/>
      <c r="O25" s="34"/>
      <c r="P25" s="35"/>
      <c r="Q25" s="36"/>
      <c r="R25" s="33"/>
      <c r="S25" s="34"/>
    </row>
    <row r="26" spans="1:19" ht="136.5" customHeight="1">
      <c r="A26" s="30">
        <v>2</v>
      </c>
      <c r="B26" s="57" t="s">
        <v>120</v>
      </c>
      <c r="C26" s="58"/>
      <c r="D26" s="30">
        <v>1</v>
      </c>
      <c r="E26" s="57" t="s">
        <v>43</v>
      </c>
      <c r="F26" s="59"/>
      <c r="G26" s="58"/>
      <c r="H26" s="30">
        <v>1</v>
      </c>
      <c r="I26" s="51" t="s">
        <v>44</v>
      </c>
      <c r="J26" s="37" t="s">
        <v>71</v>
      </c>
      <c r="K26" s="31"/>
      <c r="L26" s="32"/>
      <c r="M26" s="33"/>
      <c r="N26" s="33"/>
      <c r="O26" s="34"/>
      <c r="P26" s="35"/>
      <c r="Q26" s="36"/>
      <c r="R26" s="33"/>
      <c r="S26" s="34"/>
    </row>
    <row r="27" spans="1:19">
      <c r="A27" s="30"/>
      <c r="B27" s="48"/>
      <c r="C27" s="49"/>
      <c r="D27" s="30"/>
      <c r="E27" s="57"/>
      <c r="F27" s="59"/>
      <c r="G27" s="58"/>
      <c r="H27" s="30">
        <v>2</v>
      </c>
      <c r="I27" s="51" t="s">
        <v>46</v>
      </c>
      <c r="J27" s="37" t="s">
        <v>72</v>
      </c>
      <c r="K27" s="31"/>
      <c r="L27" s="32"/>
      <c r="M27" s="33"/>
      <c r="N27" s="33"/>
      <c r="O27" s="34"/>
      <c r="P27" s="35"/>
      <c r="Q27" s="36"/>
      <c r="R27" s="33"/>
      <c r="S27" s="34"/>
    </row>
    <row r="28" spans="1:19">
      <c r="A28" s="30"/>
      <c r="B28" s="48"/>
      <c r="C28" s="49"/>
      <c r="D28" s="30"/>
      <c r="E28" s="48"/>
      <c r="F28" s="50"/>
      <c r="G28" s="49"/>
      <c r="H28" s="30">
        <v>3</v>
      </c>
      <c r="I28" s="51" t="s">
        <v>48</v>
      </c>
      <c r="J28" s="37" t="s">
        <v>73</v>
      </c>
      <c r="K28" s="31"/>
      <c r="L28" s="32"/>
      <c r="M28" s="33"/>
      <c r="N28" s="33"/>
      <c r="O28" s="34"/>
      <c r="P28" s="35"/>
      <c r="Q28" s="36"/>
      <c r="R28" s="33"/>
      <c r="S28" s="34"/>
    </row>
    <row r="29" spans="1:19">
      <c r="A29" s="30"/>
      <c r="B29" s="48"/>
      <c r="C29" s="49"/>
      <c r="D29" s="30"/>
      <c r="E29" s="48"/>
      <c r="F29" s="50"/>
      <c r="G29" s="49"/>
      <c r="H29" s="30">
        <v>4</v>
      </c>
      <c r="I29" s="51" t="s">
        <v>50</v>
      </c>
      <c r="J29" s="37" t="s">
        <v>74</v>
      </c>
      <c r="K29" s="31"/>
      <c r="L29" s="32"/>
      <c r="M29" s="33"/>
      <c r="N29" s="33"/>
      <c r="O29" s="34"/>
      <c r="P29" s="35"/>
      <c r="Q29" s="36"/>
      <c r="R29" s="33"/>
      <c r="S29" s="34"/>
    </row>
    <row r="30" spans="1:19">
      <c r="A30" s="30"/>
      <c r="B30" s="48"/>
      <c r="C30" s="49"/>
      <c r="D30" s="30"/>
      <c r="E30" s="48"/>
      <c r="F30" s="50"/>
      <c r="G30" s="49"/>
      <c r="H30" s="30">
        <v>5</v>
      </c>
      <c r="I30" s="51" t="s">
        <v>52</v>
      </c>
      <c r="J30" s="37" t="s">
        <v>75</v>
      </c>
      <c r="K30" s="31"/>
      <c r="L30" s="32"/>
      <c r="M30" s="33"/>
      <c r="N30" s="33"/>
      <c r="O30" s="34"/>
      <c r="P30" s="35"/>
      <c r="Q30" s="36"/>
      <c r="R30" s="33"/>
      <c r="S30" s="34"/>
    </row>
    <row r="31" spans="1:19">
      <c r="A31" s="30"/>
      <c r="B31" s="48"/>
      <c r="C31" s="49"/>
      <c r="D31" s="30"/>
      <c r="E31" s="48"/>
      <c r="F31" s="50"/>
      <c r="G31" s="49"/>
      <c r="H31" s="30">
        <v>6</v>
      </c>
      <c r="I31" s="51" t="s">
        <v>54</v>
      </c>
      <c r="J31" s="37" t="s">
        <v>76</v>
      </c>
      <c r="K31" s="31"/>
      <c r="L31" s="32"/>
      <c r="M31" s="33"/>
      <c r="N31" s="33"/>
      <c r="O31" s="34"/>
      <c r="P31" s="35"/>
      <c r="Q31" s="36"/>
      <c r="R31" s="33"/>
      <c r="S31" s="34"/>
    </row>
    <row r="32" spans="1:19">
      <c r="A32" s="30"/>
      <c r="B32" s="48"/>
      <c r="C32" s="49"/>
      <c r="D32" s="30"/>
      <c r="E32" s="48"/>
      <c r="F32" s="50"/>
      <c r="G32" s="49"/>
      <c r="H32" s="30">
        <v>7</v>
      </c>
      <c r="I32" s="51" t="s">
        <v>56</v>
      </c>
      <c r="J32" s="37" t="s">
        <v>77</v>
      </c>
      <c r="K32" s="31"/>
      <c r="L32" s="32"/>
      <c r="M32" s="33"/>
      <c r="N32" s="33"/>
      <c r="O32" s="34"/>
      <c r="P32" s="35"/>
      <c r="Q32" s="36"/>
      <c r="R32" s="33"/>
      <c r="S32" s="34"/>
    </row>
    <row r="33" spans="1:19">
      <c r="A33" s="30"/>
      <c r="B33" s="48"/>
      <c r="C33" s="49"/>
      <c r="D33" s="30"/>
      <c r="E33" s="48"/>
      <c r="F33" s="50"/>
      <c r="G33" s="49"/>
      <c r="H33" s="30">
        <v>8</v>
      </c>
      <c r="I33" s="51" t="s">
        <v>58</v>
      </c>
      <c r="J33" s="37" t="s">
        <v>78</v>
      </c>
      <c r="K33" s="31"/>
      <c r="L33" s="32"/>
      <c r="M33" s="33"/>
      <c r="N33" s="33"/>
      <c r="O33" s="34"/>
      <c r="P33" s="35"/>
      <c r="Q33" s="36"/>
      <c r="R33" s="33"/>
      <c r="S33" s="34"/>
    </row>
    <row r="34" spans="1:19">
      <c r="A34" s="30"/>
      <c r="B34" s="48"/>
      <c r="C34" s="49"/>
      <c r="D34" s="30"/>
      <c r="E34" s="48"/>
      <c r="F34" s="50"/>
      <c r="G34" s="49"/>
      <c r="H34" s="30">
        <v>9</v>
      </c>
      <c r="I34" s="51" t="s">
        <v>60</v>
      </c>
      <c r="J34" s="37" t="s">
        <v>79</v>
      </c>
      <c r="K34" s="31"/>
      <c r="L34" s="32"/>
      <c r="M34" s="33"/>
      <c r="N34" s="33"/>
      <c r="O34" s="34"/>
      <c r="P34" s="35"/>
      <c r="Q34" s="36"/>
      <c r="R34" s="33"/>
      <c r="S34" s="34"/>
    </row>
    <row r="35" spans="1:19">
      <c r="A35" s="30"/>
      <c r="B35" s="48"/>
      <c r="C35" s="49"/>
      <c r="D35" s="30"/>
      <c r="E35" s="48"/>
      <c r="F35" s="50"/>
      <c r="G35" s="49"/>
      <c r="H35" s="30">
        <v>10</v>
      </c>
      <c r="I35" s="51" t="s">
        <v>62</v>
      </c>
      <c r="J35" s="37" t="s">
        <v>80</v>
      </c>
      <c r="K35" s="31"/>
      <c r="L35" s="32"/>
      <c r="M35" s="33"/>
      <c r="N35" s="33"/>
      <c r="O35" s="34"/>
      <c r="P35" s="35"/>
      <c r="Q35" s="36"/>
      <c r="R35" s="33"/>
      <c r="S35" s="34"/>
    </row>
    <row r="36" spans="1:19">
      <c r="A36" s="30"/>
      <c r="B36" s="48"/>
      <c r="C36" s="49"/>
      <c r="D36" s="30"/>
      <c r="E36" s="48"/>
      <c r="F36" s="50"/>
      <c r="G36" s="49"/>
      <c r="H36" s="30">
        <v>11</v>
      </c>
      <c r="I36" s="51" t="s">
        <v>64</v>
      </c>
      <c r="J36" s="37" t="s">
        <v>81</v>
      </c>
      <c r="K36" s="31"/>
      <c r="L36" s="32"/>
      <c r="M36" s="33"/>
      <c r="N36" s="33"/>
      <c r="O36" s="34"/>
      <c r="P36" s="35"/>
      <c r="Q36" s="36"/>
      <c r="R36" s="33"/>
      <c r="S36" s="34"/>
    </row>
    <row r="37" spans="1:19">
      <c r="A37" s="30"/>
      <c r="B37" s="48"/>
      <c r="C37" s="49"/>
      <c r="D37" s="30"/>
      <c r="E37" s="48"/>
      <c r="F37" s="50"/>
      <c r="G37" s="49"/>
      <c r="H37" s="30">
        <v>12</v>
      </c>
      <c r="I37" s="51" t="s">
        <v>66</v>
      </c>
      <c r="J37" s="37" t="s">
        <v>82</v>
      </c>
      <c r="K37" s="31"/>
      <c r="L37" s="32"/>
      <c r="M37" s="33"/>
      <c r="N37" s="33"/>
      <c r="O37" s="34"/>
      <c r="P37" s="35"/>
      <c r="Q37" s="36"/>
      <c r="R37" s="33"/>
      <c r="S37" s="34"/>
    </row>
    <row r="38" spans="1:19">
      <c r="A38" s="30"/>
      <c r="B38" s="48"/>
      <c r="C38" s="49"/>
      <c r="D38" s="30"/>
      <c r="E38" s="48"/>
      <c r="F38" s="50"/>
      <c r="G38" s="49"/>
      <c r="H38" s="30">
        <v>13</v>
      </c>
      <c r="I38" s="51" t="s">
        <v>68</v>
      </c>
      <c r="J38" s="37" t="s">
        <v>83</v>
      </c>
      <c r="K38" s="31"/>
      <c r="L38" s="32"/>
      <c r="M38" s="33"/>
      <c r="N38" s="33"/>
      <c r="O38" s="34"/>
      <c r="P38" s="35"/>
      <c r="Q38" s="36"/>
      <c r="R38" s="33"/>
      <c r="S38" s="34"/>
    </row>
    <row r="39" spans="1:19" ht="136.5" customHeight="1">
      <c r="A39" s="30">
        <v>2</v>
      </c>
      <c r="B39" s="57" t="s">
        <v>121</v>
      </c>
      <c r="C39" s="58"/>
      <c r="D39" s="30">
        <v>1</v>
      </c>
      <c r="E39" s="57" t="s">
        <v>43</v>
      </c>
      <c r="F39" s="59"/>
      <c r="G39" s="58"/>
      <c r="H39" s="30">
        <v>1</v>
      </c>
      <c r="I39" s="51" t="s">
        <v>44</v>
      </c>
      <c r="J39" s="37" t="s">
        <v>122</v>
      </c>
      <c r="K39" s="31"/>
      <c r="L39" s="32"/>
      <c r="M39" s="33"/>
      <c r="N39" s="33"/>
      <c r="O39" s="34"/>
      <c r="P39" s="35"/>
      <c r="Q39" s="36"/>
      <c r="R39" s="33"/>
      <c r="S39" s="34"/>
    </row>
    <row r="40" spans="1:19" ht="126">
      <c r="A40" s="30">
        <v>5</v>
      </c>
      <c r="B40" s="57" t="s">
        <v>123</v>
      </c>
      <c r="C40" s="58"/>
      <c r="D40" s="30">
        <v>1</v>
      </c>
      <c r="E40" s="57" t="s">
        <v>30</v>
      </c>
      <c r="F40" s="59"/>
      <c r="G40" s="58"/>
      <c r="H40" s="30">
        <v>1</v>
      </c>
      <c r="I40" s="47" t="s">
        <v>31</v>
      </c>
      <c r="J40" s="37" t="s">
        <v>32</v>
      </c>
      <c r="K40" s="31"/>
      <c r="L40" s="32"/>
      <c r="M40" s="33"/>
      <c r="N40" s="33"/>
      <c r="O40" s="34"/>
      <c r="P40" s="35"/>
      <c r="Q40" s="36"/>
      <c r="R40" s="33"/>
      <c r="S40" s="34"/>
    </row>
    <row r="41" spans="1:19" ht="126">
      <c r="A41" s="30"/>
      <c r="B41" s="57"/>
      <c r="C41" s="58"/>
      <c r="D41" s="30"/>
      <c r="E41" s="57"/>
      <c r="F41" s="59"/>
      <c r="G41" s="58"/>
      <c r="H41" s="30">
        <v>2</v>
      </c>
      <c r="I41" s="51" t="s">
        <v>33</v>
      </c>
      <c r="J41" s="37" t="s">
        <v>32</v>
      </c>
      <c r="K41" s="31"/>
      <c r="L41" s="32"/>
      <c r="M41" s="33"/>
      <c r="N41" s="33"/>
      <c r="O41" s="34"/>
      <c r="P41" s="35"/>
      <c r="Q41" s="36"/>
      <c r="R41" s="33"/>
      <c r="S41" s="34"/>
    </row>
    <row r="42" spans="1:19">
      <c r="A42" s="30"/>
      <c r="B42" s="48"/>
      <c r="C42" s="49"/>
      <c r="D42" s="30"/>
      <c r="E42" s="75"/>
      <c r="F42" s="76"/>
      <c r="G42" s="77"/>
      <c r="H42" s="30">
        <v>3</v>
      </c>
      <c r="I42" s="51" t="s">
        <v>34</v>
      </c>
      <c r="J42" s="37" t="s">
        <v>35</v>
      </c>
      <c r="K42" s="31"/>
      <c r="L42" s="32"/>
      <c r="M42" s="33"/>
      <c r="N42" s="33"/>
      <c r="O42" s="34"/>
      <c r="P42" s="35"/>
      <c r="Q42" s="36"/>
      <c r="R42" s="33"/>
      <c r="S42" s="34"/>
    </row>
    <row r="43" spans="1:19">
      <c r="A43" s="30"/>
      <c r="B43" s="48"/>
      <c r="C43" s="49"/>
      <c r="D43" s="30"/>
      <c r="E43" s="48"/>
      <c r="F43" s="50"/>
      <c r="G43" s="49"/>
      <c r="H43" s="30">
        <v>4</v>
      </c>
      <c r="I43" s="51" t="s">
        <v>36</v>
      </c>
      <c r="J43" s="37" t="s">
        <v>35</v>
      </c>
      <c r="K43" s="31"/>
      <c r="L43" s="32"/>
      <c r="M43" s="33"/>
      <c r="N43" s="33"/>
      <c r="O43" s="34"/>
      <c r="P43" s="35"/>
      <c r="Q43" s="36"/>
      <c r="R43" s="33"/>
      <c r="S43" s="34"/>
    </row>
    <row r="44" spans="1:19">
      <c r="A44" s="30"/>
      <c r="B44" s="48"/>
      <c r="C44" s="49"/>
      <c r="D44" s="30"/>
      <c r="E44" s="48"/>
      <c r="F44" s="50"/>
      <c r="G44" s="49"/>
      <c r="H44" s="30">
        <v>5</v>
      </c>
      <c r="I44" s="51" t="s">
        <v>105</v>
      </c>
      <c r="J44" s="37" t="s">
        <v>40</v>
      </c>
      <c r="K44" s="31"/>
      <c r="L44" s="32"/>
      <c r="M44" s="33"/>
      <c r="N44" s="33"/>
      <c r="O44" s="34"/>
      <c r="P44" s="35"/>
      <c r="Q44" s="36"/>
      <c r="R44" s="33"/>
      <c r="S44" s="34"/>
    </row>
    <row r="45" spans="1:19">
      <c r="A45" s="30"/>
      <c r="B45" s="48"/>
      <c r="C45" s="49"/>
      <c r="D45" s="30"/>
      <c r="E45" s="48"/>
      <c r="F45" s="50"/>
      <c r="G45" s="49"/>
      <c r="H45" s="30">
        <v>6</v>
      </c>
      <c r="I45" s="51" t="s">
        <v>106</v>
      </c>
      <c r="J45" s="37" t="s">
        <v>40</v>
      </c>
      <c r="K45" s="31"/>
      <c r="L45" s="32"/>
      <c r="M45" s="33"/>
      <c r="N45" s="33"/>
      <c r="O45" s="34"/>
      <c r="P45" s="35"/>
      <c r="Q45" s="36"/>
      <c r="R45" s="33"/>
      <c r="S45" s="34"/>
    </row>
    <row r="46" spans="1:19">
      <c r="A46" s="30"/>
      <c r="B46" s="48"/>
      <c r="C46" s="49"/>
      <c r="D46" s="30"/>
      <c r="E46" s="48"/>
      <c r="F46" s="50"/>
      <c r="G46" s="49"/>
      <c r="H46" s="30">
        <v>7</v>
      </c>
      <c r="I46" s="51" t="s">
        <v>107</v>
      </c>
      <c r="J46" s="37" t="s">
        <v>40</v>
      </c>
      <c r="K46" s="31"/>
      <c r="L46" s="32"/>
      <c r="M46" s="33"/>
      <c r="N46" s="33"/>
      <c r="O46" s="34"/>
      <c r="P46" s="35"/>
      <c r="Q46" s="36"/>
      <c r="R46" s="33"/>
      <c r="S46" s="34"/>
    </row>
    <row r="47" spans="1:19" ht="110.25">
      <c r="A47" s="30"/>
      <c r="B47" s="48"/>
      <c r="C47" s="49"/>
      <c r="D47" s="30">
        <v>2</v>
      </c>
      <c r="E47" s="57" t="s">
        <v>43</v>
      </c>
      <c r="F47" s="59"/>
      <c r="G47" s="58"/>
      <c r="H47" s="30">
        <v>1</v>
      </c>
      <c r="I47" s="51" t="s">
        <v>44</v>
      </c>
      <c r="J47" s="37" t="s">
        <v>124</v>
      </c>
      <c r="K47" s="31"/>
      <c r="L47" s="32"/>
      <c r="M47" s="33"/>
      <c r="N47" s="33"/>
      <c r="O47" s="34"/>
      <c r="P47" s="35"/>
      <c r="Q47" s="36"/>
      <c r="R47" s="33"/>
      <c r="S47" s="34"/>
    </row>
    <row r="48" spans="1:19">
      <c r="A48" s="30"/>
      <c r="B48" s="48"/>
      <c r="C48" s="49"/>
      <c r="D48" s="30"/>
      <c r="E48" s="57"/>
      <c r="F48" s="59"/>
      <c r="G48" s="58"/>
      <c r="H48" s="30">
        <v>2</v>
      </c>
      <c r="I48" s="51" t="s">
        <v>46</v>
      </c>
      <c r="J48" s="37" t="s">
        <v>72</v>
      </c>
      <c r="K48" s="31"/>
      <c r="L48" s="32"/>
      <c r="M48" s="33"/>
      <c r="N48" s="33"/>
      <c r="O48" s="34"/>
      <c r="P48" s="35"/>
      <c r="Q48" s="36"/>
      <c r="R48" s="33"/>
      <c r="S48" s="34"/>
    </row>
    <row r="49" spans="1:19">
      <c r="A49" s="30"/>
      <c r="B49" s="48"/>
      <c r="C49" s="49"/>
      <c r="D49" s="30"/>
      <c r="E49" s="48"/>
      <c r="F49" s="50"/>
      <c r="G49" s="49"/>
      <c r="H49" s="30">
        <v>3</v>
      </c>
      <c r="I49" s="51" t="s">
        <v>48</v>
      </c>
      <c r="J49" s="37" t="s">
        <v>73</v>
      </c>
      <c r="K49" s="31"/>
      <c r="L49" s="32"/>
      <c r="M49" s="33"/>
      <c r="N49" s="33"/>
      <c r="O49" s="34"/>
      <c r="P49" s="35"/>
      <c r="Q49" s="36"/>
      <c r="R49" s="33"/>
      <c r="S49" s="34"/>
    </row>
    <row r="50" spans="1:19">
      <c r="A50" s="30"/>
      <c r="B50" s="48"/>
      <c r="C50" s="49"/>
      <c r="D50" s="30"/>
      <c r="E50" s="48"/>
      <c r="F50" s="50"/>
      <c r="G50" s="49"/>
      <c r="H50" s="30">
        <v>4</v>
      </c>
      <c r="I50" s="51" t="s">
        <v>50</v>
      </c>
      <c r="J50" s="37" t="s">
        <v>74</v>
      </c>
      <c r="K50" s="31"/>
      <c r="L50" s="32"/>
      <c r="M50" s="33"/>
      <c r="N50" s="33"/>
      <c r="O50" s="34"/>
      <c r="P50" s="35"/>
      <c r="Q50" s="36"/>
      <c r="R50" s="33"/>
      <c r="S50" s="34"/>
    </row>
    <row r="51" spans="1:19">
      <c r="A51" s="30"/>
      <c r="B51" s="48"/>
      <c r="C51" s="49"/>
      <c r="D51" s="30"/>
      <c r="E51" s="48"/>
      <c r="F51" s="50"/>
      <c r="G51" s="49"/>
      <c r="H51" s="30">
        <v>5</v>
      </c>
      <c r="I51" s="51" t="s">
        <v>52</v>
      </c>
      <c r="J51" s="37" t="s">
        <v>75</v>
      </c>
      <c r="K51" s="31"/>
      <c r="L51" s="32"/>
      <c r="M51" s="33"/>
      <c r="N51" s="33"/>
      <c r="O51" s="34"/>
      <c r="P51" s="35"/>
      <c r="Q51" s="36"/>
      <c r="R51" s="33"/>
      <c r="S51" s="34"/>
    </row>
    <row r="52" spans="1:19">
      <c r="A52" s="30"/>
      <c r="B52" s="48"/>
      <c r="C52" s="49"/>
      <c r="D52" s="30"/>
      <c r="E52" s="48"/>
      <c r="F52" s="50"/>
      <c r="G52" s="49"/>
      <c r="H52" s="30">
        <v>6</v>
      </c>
      <c r="I52" s="51" t="s">
        <v>54</v>
      </c>
      <c r="J52" s="37" t="s">
        <v>76</v>
      </c>
      <c r="K52" s="31"/>
      <c r="L52" s="32"/>
      <c r="M52" s="33"/>
      <c r="N52" s="33"/>
      <c r="O52" s="34"/>
      <c r="P52" s="35"/>
      <c r="Q52" s="36"/>
      <c r="R52" s="33"/>
      <c r="S52" s="34"/>
    </row>
    <row r="53" spans="1:19">
      <c r="A53" s="30"/>
      <c r="B53" s="48"/>
      <c r="C53" s="49"/>
      <c r="D53" s="30"/>
      <c r="E53" s="48"/>
      <c r="F53" s="50"/>
      <c r="G53" s="49"/>
      <c r="H53" s="30">
        <v>7</v>
      </c>
      <c r="I53" s="51" t="s">
        <v>56</v>
      </c>
      <c r="J53" s="37" t="s">
        <v>77</v>
      </c>
      <c r="K53" s="31"/>
      <c r="L53" s="32"/>
      <c r="M53" s="33"/>
      <c r="N53" s="33"/>
      <c r="O53" s="34"/>
      <c r="P53" s="35"/>
      <c r="Q53" s="36"/>
      <c r="R53" s="33"/>
      <c r="S53" s="34"/>
    </row>
    <row r="54" spans="1:19">
      <c r="A54" s="30"/>
      <c r="B54" s="48"/>
      <c r="C54" s="49"/>
      <c r="D54" s="30"/>
      <c r="E54" s="48"/>
      <c r="F54" s="50"/>
      <c r="G54" s="49"/>
      <c r="H54" s="30">
        <v>8</v>
      </c>
      <c r="I54" s="51" t="s">
        <v>58</v>
      </c>
      <c r="J54" s="37" t="s">
        <v>78</v>
      </c>
      <c r="K54" s="31"/>
      <c r="L54" s="32"/>
      <c r="M54" s="33"/>
      <c r="N54" s="33"/>
      <c r="O54" s="34"/>
      <c r="P54" s="35"/>
      <c r="Q54" s="36"/>
      <c r="R54" s="33"/>
      <c r="S54" s="34"/>
    </row>
    <row r="55" spans="1:19">
      <c r="A55" s="30"/>
      <c r="B55" s="48"/>
      <c r="C55" s="49"/>
      <c r="D55" s="30"/>
      <c r="E55" s="48"/>
      <c r="F55" s="50"/>
      <c r="G55" s="49"/>
      <c r="H55" s="30">
        <v>9</v>
      </c>
      <c r="I55" s="51" t="s">
        <v>60</v>
      </c>
      <c r="J55" s="37" t="s">
        <v>79</v>
      </c>
      <c r="K55" s="31"/>
      <c r="L55" s="32"/>
      <c r="M55" s="33"/>
      <c r="N55" s="33"/>
      <c r="O55" s="34"/>
      <c r="P55" s="35"/>
      <c r="Q55" s="36"/>
      <c r="R55" s="33"/>
      <c r="S55" s="34"/>
    </row>
    <row r="56" spans="1:19">
      <c r="A56" s="30"/>
      <c r="B56" s="48"/>
      <c r="C56" s="49"/>
      <c r="D56" s="30"/>
      <c r="E56" s="48"/>
      <c r="F56" s="50"/>
      <c r="G56" s="49"/>
      <c r="H56" s="30">
        <v>10</v>
      </c>
      <c r="I56" s="51" t="s">
        <v>62</v>
      </c>
      <c r="J56" s="37" t="s">
        <v>80</v>
      </c>
      <c r="K56" s="31"/>
      <c r="L56" s="32"/>
      <c r="M56" s="33"/>
      <c r="N56" s="33"/>
      <c r="O56" s="34"/>
      <c r="P56" s="35"/>
      <c r="Q56" s="36"/>
      <c r="R56" s="33"/>
      <c r="S56" s="34"/>
    </row>
    <row r="57" spans="1:19">
      <c r="A57" s="30"/>
      <c r="B57" s="48"/>
      <c r="C57" s="49"/>
      <c r="D57" s="30"/>
      <c r="E57" s="48"/>
      <c r="F57" s="50"/>
      <c r="G57" s="49"/>
      <c r="H57" s="30">
        <v>11</v>
      </c>
      <c r="I57" s="51" t="s">
        <v>64</v>
      </c>
      <c r="J57" s="37" t="s">
        <v>81</v>
      </c>
      <c r="K57" s="31"/>
      <c r="L57" s="32"/>
      <c r="M57" s="33"/>
      <c r="N57" s="33"/>
      <c r="O57" s="34"/>
      <c r="P57" s="35"/>
      <c r="Q57" s="36"/>
      <c r="R57" s="33"/>
      <c r="S57" s="34"/>
    </row>
    <row r="58" spans="1:19">
      <c r="A58" s="30"/>
      <c r="B58" s="48"/>
      <c r="C58" s="49"/>
      <c r="D58" s="30"/>
      <c r="E58" s="48"/>
      <c r="F58" s="50"/>
      <c r="G58" s="49"/>
      <c r="H58" s="30">
        <v>12</v>
      </c>
      <c r="I58" s="51" t="s">
        <v>66</v>
      </c>
      <c r="J58" s="37" t="s">
        <v>82</v>
      </c>
      <c r="K58" s="31"/>
      <c r="L58" s="32"/>
      <c r="M58" s="33"/>
      <c r="N58" s="33"/>
      <c r="O58" s="34"/>
      <c r="P58" s="35"/>
      <c r="Q58" s="36"/>
      <c r="R58" s="33"/>
      <c r="S58" s="34"/>
    </row>
    <row r="59" spans="1:19">
      <c r="A59" s="30"/>
      <c r="B59" s="48"/>
      <c r="C59" s="49"/>
      <c r="D59" s="30"/>
      <c r="E59" s="48"/>
      <c r="F59" s="50"/>
      <c r="G59" s="49"/>
      <c r="H59" s="30">
        <v>13</v>
      </c>
      <c r="I59" s="51" t="s">
        <v>68</v>
      </c>
      <c r="J59" s="37" t="s">
        <v>83</v>
      </c>
      <c r="K59" s="31"/>
      <c r="L59" s="32"/>
      <c r="M59" s="33"/>
      <c r="N59" s="33"/>
      <c r="O59" s="34"/>
      <c r="P59" s="35"/>
      <c r="Q59" s="36"/>
      <c r="R59" s="33"/>
      <c r="S59" s="34"/>
    </row>
    <row r="60" spans="1:19" ht="117" customHeight="1">
      <c r="A60" s="30">
        <v>6</v>
      </c>
      <c r="B60" s="57" t="s">
        <v>125</v>
      </c>
      <c r="C60" s="58"/>
      <c r="D60" s="30">
        <v>1</v>
      </c>
      <c r="E60" s="57" t="s">
        <v>43</v>
      </c>
      <c r="F60" s="59"/>
      <c r="G60" s="58"/>
      <c r="H60" s="30">
        <v>1</v>
      </c>
      <c r="I60" s="51" t="s">
        <v>44</v>
      </c>
      <c r="J60" s="37" t="s">
        <v>94</v>
      </c>
      <c r="K60" s="31"/>
      <c r="L60" s="32"/>
      <c r="M60" s="33"/>
      <c r="N60" s="33"/>
      <c r="O60" s="34"/>
      <c r="P60" s="35"/>
      <c r="Q60" s="36"/>
      <c r="R60" s="33"/>
      <c r="S60" s="34"/>
    </row>
    <row r="61" spans="1:19">
      <c r="A61" s="30"/>
      <c r="B61" s="48"/>
      <c r="C61" s="49"/>
      <c r="D61" s="30"/>
      <c r="E61" s="57"/>
      <c r="F61" s="59"/>
      <c r="G61" s="58"/>
      <c r="H61" s="30">
        <v>2</v>
      </c>
      <c r="I61" s="51" t="s">
        <v>46</v>
      </c>
      <c r="J61" s="37" t="s">
        <v>72</v>
      </c>
      <c r="K61" s="31"/>
      <c r="L61" s="32"/>
      <c r="M61" s="33"/>
      <c r="N61" s="33"/>
      <c r="O61" s="34"/>
      <c r="P61" s="35"/>
      <c r="Q61" s="36"/>
      <c r="R61" s="33"/>
      <c r="S61" s="34"/>
    </row>
    <row r="62" spans="1:19">
      <c r="A62" s="30"/>
      <c r="B62" s="48"/>
      <c r="C62" s="49"/>
      <c r="D62" s="30"/>
      <c r="E62" s="48"/>
      <c r="F62" s="50"/>
      <c r="G62" s="49"/>
      <c r="H62" s="30">
        <v>3</v>
      </c>
      <c r="I62" s="51" t="s">
        <v>48</v>
      </c>
      <c r="J62" s="37" t="s">
        <v>73</v>
      </c>
      <c r="K62" s="31"/>
      <c r="L62" s="32"/>
      <c r="M62" s="33"/>
      <c r="N62" s="33"/>
      <c r="O62" s="34"/>
      <c r="P62" s="35"/>
      <c r="Q62" s="36"/>
      <c r="R62" s="33"/>
      <c r="S62" s="34"/>
    </row>
    <row r="63" spans="1:19">
      <c r="A63" s="30"/>
      <c r="B63" s="48"/>
      <c r="C63" s="49"/>
      <c r="D63" s="30"/>
      <c r="E63" s="48"/>
      <c r="F63" s="50"/>
      <c r="G63" s="49"/>
      <c r="H63" s="30">
        <v>4</v>
      </c>
      <c r="I63" s="51" t="s">
        <v>50</v>
      </c>
      <c r="J63" s="37" t="s">
        <v>74</v>
      </c>
      <c r="K63" s="31"/>
      <c r="L63" s="32"/>
      <c r="M63" s="33"/>
      <c r="N63" s="33"/>
      <c r="O63" s="34"/>
      <c r="P63" s="35"/>
      <c r="Q63" s="36"/>
      <c r="R63" s="33"/>
      <c r="S63" s="34"/>
    </row>
    <row r="64" spans="1:19">
      <c r="A64" s="30"/>
      <c r="B64" s="48"/>
      <c r="C64" s="49"/>
      <c r="D64" s="30"/>
      <c r="E64" s="48"/>
      <c r="F64" s="50"/>
      <c r="G64" s="49"/>
      <c r="H64" s="30">
        <v>5</v>
      </c>
      <c r="I64" s="51" t="s">
        <v>52</v>
      </c>
      <c r="J64" s="37" t="s">
        <v>75</v>
      </c>
      <c r="K64" s="31"/>
      <c r="L64" s="32"/>
      <c r="M64" s="33"/>
      <c r="N64" s="33"/>
      <c r="O64" s="34"/>
      <c r="P64" s="35"/>
      <c r="Q64" s="36"/>
      <c r="R64" s="33"/>
      <c r="S64" s="34"/>
    </row>
    <row r="65" spans="1:19">
      <c r="A65" s="30"/>
      <c r="B65" s="48"/>
      <c r="C65" s="49"/>
      <c r="D65" s="30"/>
      <c r="E65" s="48"/>
      <c r="F65" s="50"/>
      <c r="G65" s="49"/>
      <c r="H65" s="30">
        <v>6</v>
      </c>
      <c r="I65" s="51" t="s">
        <v>54</v>
      </c>
      <c r="J65" s="37" t="s">
        <v>76</v>
      </c>
      <c r="K65" s="31"/>
      <c r="L65" s="32"/>
      <c r="M65" s="33"/>
      <c r="N65" s="33"/>
      <c r="O65" s="34"/>
      <c r="P65" s="35"/>
      <c r="Q65" s="36"/>
      <c r="R65" s="33"/>
      <c r="S65" s="34"/>
    </row>
    <row r="66" spans="1:19">
      <c r="A66" s="30"/>
      <c r="B66" s="48"/>
      <c r="C66" s="49"/>
      <c r="D66" s="30"/>
      <c r="E66" s="48"/>
      <c r="F66" s="50"/>
      <c r="G66" s="49"/>
      <c r="H66" s="30">
        <v>7</v>
      </c>
      <c r="I66" s="51" t="s">
        <v>56</v>
      </c>
      <c r="J66" s="37" t="s">
        <v>77</v>
      </c>
      <c r="K66" s="31"/>
      <c r="L66" s="32"/>
      <c r="M66" s="33"/>
      <c r="N66" s="33"/>
      <c r="O66" s="34"/>
      <c r="P66" s="35"/>
      <c r="Q66" s="36"/>
      <c r="R66" s="33"/>
      <c r="S66" s="34"/>
    </row>
    <row r="67" spans="1:19">
      <c r="A67" s="30"/>
      <c r="B67" s="48"/>
      <c r="C67" s="49"/>
      <c r="D67" s="30"/>
      <c r="E67" s="48"/>
      <c r="F67" s="50"/>
      <c r="G67" s="49"/>
      <c r="H67" s="30">
        <v>8</v>
      </c>
      <c r="I67" s="51" t="s">
        <v>58</v>
      </c>
      <c r="J67" s="37" t="s">
        <v>78</v>
      </c>
      <c r="K67" s="31"/>
      <c r="L67" s="32"/>
      <c r="M67" s="33"/>
      <c r="N67" s="33"/>
      <c r="O67" s="34"/>
      <c r="P67" s="35"/>
      <c r="Q67" s="36"/>
      <c r="R67" s="33"/>
      <c r="S67" s="34"/>
    </row>
    <row r="68" spans="1:19">
      <c r="A68" s="30"/>
      <c r="B68" s="48"/>
      <c r="C68" s="49"/>
      <c r="D68" s="30"/>
      <c r="E68" s="48"/>
      <c r="F68" s="50"/>
      <c r="G68" s="49"/>
      <c r="H68" s="30">
        <v>9</v>
      </c>
      <c r="I68" s="51" t="s">
        <v>60</v>
      </c>
      <c r="J68" s="37" t="s">
        <v>79</v>
      </c>
      <c r="K68" s="31"/>
      <c r="L68" s="32"/>
      <c r="M68" s="33"/>
      <c r="N68" s="33"/>
      <c r="O68" s="34"/>
      <c r="P68" s="35"/>
      <c r="Q68" s="36"/>
      <c r="R68" s="33"/>
      <c r="S68" s="34"/>
    </row>
    <row r="69" spans="1:19">
      <c r="A69" s="30"/>
      <c r="B69" s="48"/>
      <c r="C69" s="49"/>
      <c r="D69" s="30"/>
      <c r="E69" s="48"/>
      <c r="F69" s="50"/>
      <c r="G69" s="49"/>
      <c r="H69" s="30">
        <v>10</v>
      </c>
      <c r="I69" s="51" t="s">
        <v>62</v>
      </c>
      <c r="J69" s="37" t="s">
        <v>80</v>
      </c>
      <c r="K69" s="31"/>
      <c r="L69" s="32"/>
      <c r="M69" s="33"/>
      <c r="N69" s="33"/>
      <c r="O69" s="34"/>
      <c r="P69" s="35"/>
      <c r="Q69" s="36"/>
      <c r="R69" s="33"/>
      <c r="S69" s="34"/>
    </row>
    <row r="70" spans="1:19">
      <c r="A70" s="30"/>
      <c r="B70" s="48"/>
      <c r="C70" s="49"/>
      <c r="D70" s="30"/>
      <c r="E70" s="48"/>
      <c r="F70" s="50"/>
      <c r="G70" s="49"/>
      <c r="H70" s="30">
        <v>11</v>
      </c>
      <c r="I70" s="51" t="s">
        <v>64</v>
      </c>
      <c r="J70" s="37" t="s">
        <v>81</v>
      </c>
      <c r="K70" s="31"/>
      <c r="L70" s="32"/>
      <c r="M70" s="33"/>
      <c r="N70" s="33"/>
      <c r="O70" s="34"/>
      <c r="P70" s="35"/>
      <c r="Q70" s="36"/>
      <c r="R70" s="33"/>
      <c r="S70" s="34"/>
    </row>
    <row r="71" spans="1:19">
      <c r="A71" s="30"/>
      <c r="B71" s="48"/>
      <c r="C71" s="49"/>
      <c r="D71" s="30"/>
      <c r="E71" s="48"/>
      <c r="F71" s="50"/>
      <c r="G71" s="49"/>
      <c r="H71" s="30">
        <v>12</v>
      </c>
      <c r="I71" s="51" t="s">
        <v>66</v>
      </c>
      <c r="J71" s="37" t="s">
        <v>82</v>
      </c>
      <c r="K71" s="31"/>
      <c r="L71" s="32"/>
      <c r="M71" s="33"/>
      <c r="N71" s="33"/>
      <c r="O71" s="34"/>
      <c r="P71" s="35"/>
      <c r="Q71" s="36"/>
      <c r="R71" s="33"/>
      <c r="S71" s="34"/>
    </row>
    <row r="72" spans="1:19">
      <c r="A72" s="30"/>
      <c r="B72" s="48"/>
      <c r="C72" s="49"/>
      <c r="D72" s="30"/>
      <c r="E72" s="48"/>
      <c r="F72" s="50"/>
      <c r="G72" s="49"/>
      <c r="H72" s="30">
        <v>13</v>
      </c>
      <c r="I72" s="51" t="s">
        <v>68</v>
      </c>
      <c r="J72" s="37" t="s">
        <v>83</v>
      </c>
      <c r="K72" s="31"/>
      <c r="L72" s="32"/>
      <c r="M72" s="33"/>
      <c r="N72" s="33"/>
      <c r="O72" s="34"/>
      <c r="P72" s="35"/>
      <c r="Q72" s="36"/>
      <c r="R72" s="33"/>
      <c r="S72" s="34"/>
    </row>
    <row r="73" spans="1:19" ht="129" customHeight="1">
      <c r="A73" s="30">
        <v>2</v>
      </c>
      <c r="B73" s="57" t="s">
        <v>126</v>
      </c>
      <c r="C73" s="58"/>
      <c r="D73" s="30">
        <v>1</v>
      </c>
      <c r="E73" s="57" t="s">
        <v>43</v>
      </c>
      <c r="F73" s="59"/>
      <c r="G73" s="58"/>
      <c r="H73" s="30">
        <v>1</v>
      </c>
      <c r="I73" s="51" t="s">
        <v>44</v>
      </c>
      <c r="J73" s="37" t="s">
        <v>122</v>
      </c>
      <c r="K73" s="31"/>
      <c r="L73" s="32"/>
      <c r="M73" s="33"/>
      <c r="N73" s="33"/>
      <c r="O73" s="34"/>
      <c r="P73" s="35"/>
      <c r="Q73" s="36"/>
      <c r="R73" s="33"/>
      <c r="S73" s="34"/>
    </row>
    <row r="74" spans="1:19" ht="31.5" customHeight="1">
      <c r="A74" s="38"/>
      <c r="B74" s="78"/>
      <c r="C74" s="79"/>
      <c r="D74" s="38"/>
      <c r="E74" s="78"/>
      <c r="F74" s="80"/>
      <c r="G74" s="79"/>
      <c r="H74" s="38"/>
      <c r="I74" s="46"/>
      <c r="J74" s="39"/>
      <c r="K74" s="40"/>
      <c r="L74" s="41"/>
      <c r="M74" s="42"/>
      <c r="N74" s="42"/>
      <c r="O74" s="43"/>
      <c r="P74" s="44"/>
      <c r="Q74" s="45"/>
      <c r="R74" s="42"/>
      <c r="S74" s="43"/>
    </row>
    <row r="77" spans="1:19">
      <c r="J77" s="8">
        <f>COUNTA(J6:J74)</f>
        <v>68</v>
      </c>
      <c r="L77" s="8" t="s">
        <v>101</v>
      </c>
      <c r="M77" s="8">
        <f>COUNTIF($M$6:$M$74,L77)</f>
        <v>0</v>
      </c>
    </row>
    <row r="78" spans="1:19">
      <c r="L78" s="8" t="s">
        <v>102</v>
      </c>
      <c r="M78" s="8">
        <f>COUNTIF($M$6:$M$74,L78)</f>
        <v>0</v>
      </c>
    </row>
    <row r="79" spans="1:19">
      <c r="L79" s="8" t="s">
        <v>103</v>
      </c>
      <c r="M79" s="8">
        <f>J77-(M77+M78)</f>
        <v>68</v>
      </c>
    </row>
  </sheetData>
  <mergeCells count="40">
    <mergeCell ref="B60:C60"/>
    <mergeCell ref="E60:G60"/>
    <mergeCell ref="E61:G61"/>
    <mergeCell ref="E73:G73"/>
    <mergeCell ref="B74:C74"/>
    <mergeCell ref="E74:G74"/>
    <mergeCell ref="E40:G40"/>
    <mergeCell ref="B41:C41"/>
    <mergeCell ref="E41:G41"/>
    <mergeCell ref="E42:G42"/>
    <mergeCell ref="E48:G48"/>
    <mergeCell ref="A2:B2"/>
    <mergeCell ref="E2:F3"/>
    <mergeCell ref="G2:I2"/>
    <mergeCell ref="P2:Q2"/>
    <mergeCell ref="R2:S2"/>
    <mergeCell ref="A3:B3"/>
    <mergeCell ref="G3:I3"/>
    <mergeCell ref="P3:Q3"/>
    <mergeCell ref="A1:B1"/>
    <mergeCell ref="E1:F1"/>
    <mergeCell ref="G1:I1"/>
    <mergeCell ref="P1:Q1"/>
    <mergeCell ref="R1:S1"/>
    <mergeCell ref="B39:C39"/>
    <mergeCell ref="E39:G39"/>
    <mergeCell ref="B73:C73"/>
    <mergeCell ref="R3:S3"/>
    <mergeCell ref="B6:C6"/>
    <mergeCell ref="E6:G6"/>
    <mergeCell ref="B26:C26"/>
    <mergeCell ref="E26:G26"/>
    <mergeCell ref="B7:C7"/>
    <mergeCell ref="E7:G7"/>
    <mergeCell ref="E8:G8"/>
    <mergeCell ref="E13:G13"/>
    <mergeCell ref="E14:G14"/>
    <mergeCell ref="E47:G47"/>
    <mergeCell ref="E27:G27"/>
    <mergeCell ref="B40:C40"/>
  </mergeCells>
  <phoneticPr fontId="1"/>
  <dataValidations count="3">
    <dataValidation imeMode="off" allowBlank="1" showInputMessage="1" showErrorMessage="1" sqref="R1:S3 K6:L74 S6:S74 O6:O74" xr:uid="{56D4B9BF-E2EA-45A3-90ED-02F33FD356DA}"/>
    <dataValidation type="list" allowBlank="1" showInputMessage="1" showErrorMessage="1" sqref="M6:M74" xr:uid="{E74C365C-C1B7-451D-AB50-DD061C084EE5}">
      <formula1>"合格,不合格"</formula1>
    </dataValidation>
    <dataValidation imeMode="off" allowBlank="1" showInputMessage="1" showErrorMessage="1" prompt="集計ツールを使用する場合、テストケースNoは、英数字で入力してください" sqref="A6:A74 D6:D74 H6:H74" xr:uid="{BF97D0C4-6CF9-49E1-A74C-4744406E10FE}"/>
  </dataValidations>
  <printOptions horizontalCentered="1"/>
  <pageMargins left="0.39370078740157483" right="0.39370078740157483" top="0.78740157480314965" bottom="0.59055118110236227" header="0.39370078740157483" footer="0.39370078740157483"/>
  <pageSetup paperSize="9" scale="72" fitToHeight="0" orientation="landscape" r:id="rId1"/>
  <headerFooter alignWithMargins="0">
    <oddHeader>&amp;R&amp;U関係者外秘
【○○限り】&amp;11&amp;U
&amp;A  &amp;P / &amp;N ﾍﾟｰｼﾞ</oddHeader>
    <oddFooter>&amp;L&amp;"ＭＳ Ｐ明朝,標準"Copyright(c) 2006-2007 TIS Inc.&amp;C&amp;"ＭＳ Ｐ明朝,標準"&amp;P&amp;R&amp;"ＭＳ Ｐ明朝,標準"TIS標準プロセス様式　IZ323　Ver1.0.2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A8415-668B-43D2-88FA-EA96806F5C32}">
  <sheetPr>
    <pageSetUpPr fitToPage="1"/>
  </sheetPr>
  <dimension ref="A1:S216"/>
  <sheetViews>
    <sheetView showGridLines="0" tabSelected="1" topLeftCell="A141" workbookViewId="0">
      <selection activeCell="O156" sqref="O156"/>
    </sheetView>
  </sheetViews>
  <sheetFormatPr defaultColWidth="9.33203125" defaultRowHeight="15.75"/>
  <cols>
    <col min="1" max="1" width="4.83203125" style="8" customWidth="1"/>
    <col min="2" max="2" width="6.83203125" style="8" customWidth="1"/>
    <col min="3" max="3" width="16.83203125" style="8" customWidth="1"/>
    <col min="4" max="4" width="4.83203125" style="8" customWidth="1"/>
    <col min="5" max="6" width="5.83203125" style="8" customWidth="1"/>
    <col min="7" max="7" width="12.83203125" style="8" customWidth="1"/>
    <col min="8" max="8" width="4.83203125" style="8" customWidth="1"/>
    <col min="9" max="9" width="50.83203125" style="8" customWidth="1"/>
    <col min="10" max="10" width="108.6640625" style="8" customWidth="1"/>
    <col min="11" max="12" width="7.83203125" style="8" customWidth="1"/>
    <col min="13" max="13" width="7.33203125" style="8" customWidth="1"/>
    <col min="14" max="15" width="7.83203125" style="8" customWidth="1"/>
    <col min="16" max="16" width="29.5" style="8" customWidth="1"/>
    <col min="17" max="17" width="9.83203125" style="8" customWidth="1"/>
    <col min="18" max="19" width="7.83203125" style="8" customWidth="1"/>
    <col min="20" max="16384" width="9.33203125" style="8"/>
  </cols>
  <sheetData>
    <row r="1" spans="1:19" ht="16.5">
      <c r="A1" s="60" t="s">
        <v>0</v>
      </c>
      <c r="B1" s="61"/>
      <c r="C1" s="1" t="s">
        <v>1</v>
      </c>
      <c r="D1" s="2"/>
      <c r="E1" s="62" t="s">
        <v>2</v>
      </c>
      <c r="F1" s="63"/>
      <c r="G1" s="64" t="s">
        <v>3</v>
      </c>
      <c r="H1" s="65"/>
      <c r="I1" s="61"/>
      <c r="J1" s="3"/>
      <c r="K1" s="4"/>
      <c r="L1" s="4"/>
      <c r="M1" s="5"/>
      <c r="N1" s="6"/>
      <c r="O1" s="7" t="s">
        <v>4</v>
      </c>
      <c r="P1" s="64" t="s">
        <v>5</v>
      </c>
      <c r="Q1" s="61"/>
      <c r="R1" s="55">
        <v>46153</v>
      </c>
      <c r="S1" s="56"/>
    </row>
    <row r="2" spans="1:19" ht="16.5">
      <c r="A2" s="60" t="s">
        <v>6</v>
      </c>
      <c r="B2" s="61"/>
      <c r="C2" s="1"/>
      <c r="D2" s="2"/>
      <c r="E2" s="66" t="s">
        <v>7</v>
      </c>
      <c r="F2" s="67"/>
      <c r="G2" s="70" t="s">
        <v>8</v>
      </c>
      <c r="H2" s="71"/>
      <c r="I2" s="72"/>
      <c r="J2" s="9"/>
      <c r="K2" s="10"/>
      <c r="L2" s="10"/>
      <c r="M2" s="11"/>
      <c r="N2" s="12"/>
      <c r="O2" s="7" t="s">
        <v>9</v>
      </c>
      <c r="P2" s="64"/>
      <c r="Q2" s="61"/>
      <c r="R2" s="55" t="s">
        <v>10</v>
      </c>
      <c r="S2" s="56"/>
    </row>
    <row r="3" spans="1:19" ht="16.5">
      <c r="A3" s="60" t="s">
        <v>11</v>
      </c>
      <c r="B3" s="61"/>
      <c r="C3" s="1" t="s">
        <v>12</v>
      </c>
      <c r="D3" s="2"/>
      <c r="E3" s="68"/>
      <c r="F3" s="69"/>
      <c r="G3" s="68"/>
      <c r="H3" s="73"/>
      <c r="I3" s="74"/>
      <c r="J3" s="13"/>
      <c r="K3" s="14"/>
      <c r="L3" s="14"/>
      <c r="M3" s="15"/>
      <c r="N3" s="16"/>
      <c r="O3" s="7" t="s">
        <v>13</v>
      </c>
      <c r="P3" s="64"/>
      <c r="Q3" s="61"/>
      <c r="R3" s="55" t="s">
        <v>10</v>
      </c>
      <c r="S3" s="56"/>
    </row>
    <row r="4" spans="1:19">
      <c r="A4" s="17" t="s">
        <v>14</v>
      </c>
    </row>
    <row r="5" spans="1:19" ht="33.75" thickBot="1">
      <c r="A5" s="18" t="s">
        <v>15</v>
      </c>
      <c r="B5" s="19" t="s">
        <v>16</v>
      </c>
      <c r="C5" s="20"/>
      <c r="D5" s="18" t="s">
        <v>15</v>
      </c>
      <c r="E5" s="19" t="s">
        <v>17</v>
      </c>
      <c r="F5" s="21"/>
      <c r="G5" s="20"/>
      <c r="H5" s="22" t="s">
        <v>15</v>
      </c>
      <c r="I5" s="23" t="s">
        <v>18</v>
      </c>
      <c r="J5" s="24" t="s">
        <v>19</v>
      </c>
      <c r="K5" s="25" t="s">
        <v>20</v>
      </c>
      <c r="L5" s="26" t="s">
        <v>21</v>
      </c>
      <c r="M5" s="27" t="s">
        <v>22</v>
      </c>
      <c r="N5" s="27" t="s">
        <v>23</v>
      </c>
      <c r="O5" s="27" t="s">
        <v>24</v>
      </c>
      <c r="P5" s="27" t="s">
        <v>25</v>
      </c>
      <c r="Q5" s="28" t="s">
        <v>26</v>
      </c>
      <c r="R5" s="29" t="s">
        <v>27</v>
      </c>
      <c r="S5" s="20" t="s">
        <v>28</v>
      </c>
    </row>
    <row r="6" spans="1:19" ht="126.75" thickTop="1">
      <c r="A6" s="30">
        <v>1</v>
      </c>
      <c r="B6" s="57" t="s">
        <v>127</v>
      </c>
      <c r="C6" s="58"/>
      <c r="D6" s="30">
        <v>1</v>
      </c>
      <c r="E6" s="57" t="s">
        <v>30</v>
      </c>
      <c r="F6" s="59"/>
      <c r="G6" s="58"/>
      <c r="H6" s="30">
        <v>1</v>
      </c>
      <c r="I6" s="47" t="s">
        <v>31</v>
      </c>
      <c r="J6" s="37" t="s">
        <v>32</v>
      </c>
      <c r="K6" s="31"/>
      <c r="L6" s="32"/>
      <c r="M6" s="33"/>
      <c r="N6" s="33"/>
      <c r="O6" s="34"/>
      <c r="P6" s="35"/>
      <c r="Q6" s="36"/>
      <c r="R6" s="33"/>
      <c r="S6" s="34"/>
    </row>
    <row r="7" spans="1:19" ht="126">
      <c r="A7" s="30"/>
      <c r="B7" s="57"/>
      <c r="C7" s="58"/>
      <c r="D7" s="30"/>
      <c r="E7" s="57"/>
      <c r="F7" s="59"/>
      <c r="G7" s="58"/>
      <c r="H7" s="30">
        <v>2</v>
      </c>
      <c r="I7" s="51" t="s">
        <v>33</v>
      </c>
      <c r="J7" s="37" t="s">
        <v>32</v>
      </c>
      <c r="K7" s="31"/>
      <c r="L7" s="32"/>
      <c r="M7" s="33"/>
      <c r="N7" s="33"/>
      <c r="O7" s="34"/>
      <c r="P7" s="35"/>
      <c r="Q7" s="36"/>
      <c r="R7" s="33"/>
      <c r="S7" s="34"/>
    </row>
    <row r="8" spans="1:19">
      <c r="A8" s="30"/>
      <c r="B8" s="48"/>
      <c r="C8" s="49"/>
      <c r="D8" s="30"/>
      <c r="E8" s="75"/>
      <c r="F8" s="76"/>
      <c r="G8" s="77"/>
      <c r="H8" s="30">
        <v>3</v>
      </c>
      <c r="I8" s="51" t="s">
        <v>34</v>
      </c>
      <c r="J8" s="37" t="s">
        <v>35</v>
      </c>
      <c r="K8" s="31"/>
      <c r="L8" s="32"/>
      <c r="M8" s="33"/>
      <c r="N8" s="33"/>
      <c r="O8" s="34"/>
      <c r="P8" s="35"/>
      <c r="Q8" s="36"/>
      <c r="R8" s="33"/>
      <c r="S8" s="34"/>
    </row>
    <row r="9" spans="1:19">
      <c r="A9" s="30"/>
      <c r="B9" s="48"/>
      <c r="C9" s="49"/>
      <c r="D9" s="30"/>
      <c r="E9" s="48"/>
      <c r="F9" s="50"/>
      <c r="G9" s="49"/>
      <c r="H9" s="30">
        <v>4</v>
      </c>
      <c r="I9" s="51" t="s">
        <v>36</v>
      </c>
      <c r="J9" s="37" t="s">
        <v>35</v>
      </c>
      <c r="K9" s="31"/>
      <c r="L9" s="32"/>
      <c r="M9" s="33"/>
      <c r="N9" s="33"/>
      <c r="O9" s="34"/>
      <c r="P9" s="35"/>
      <c r="Q9" s="36"/>
      <c r="R9" s="33"/>
      <c r="S9" s="34"/>
    </row>
    <row r="10" spans="1:19">
      <c r="A10" s="30"/>
      <c r="B10" s="48"/>
      <c r="C10" s="49"/>
      <c r="D10" s="30"/>
      <c r="E10" s="48"/>
      <c r="F10" s="50"/>
      <c r="G10" s="49"/>
      <c r="H10" s="30">
        <v>5</v>
      </c>
      <c r="I10" s="51" t="s">
        <v>128</v>
      </c>
      <c r="J10" s="37" t="s">
        <v>38</v>
      </c>
      <c r="K10" s="31"/>
      <c r="L10" s="32"/>
      <c r="M10" s="33"/>
      <c r="N10" s="33"/>
      <c r="O10" s="34"/>
      <c r="P10" s="35"/>
      <c r="Q10" s="36"/>
      <c r="R10" s="33"/>
      <c r="S10" s="34"/>
    </row>
    <row r="11" spans="1:19">
      <c r="A11" s="30"/>
      <c r="B11" s="48"/>
      <c r="C11" s="49"/>
      <c r="D11" s="30"/>
      <c r="E11" s="48"/>
      <c r="F11" s="50"/>
      <c r="G11" s="49"/>
      <c r="H11" s="30">
        <v>6</v>
      </c>
      <c r="I11" s="51" t="s">
        <v>129</v>
      </c>
      <c r="J11" s="37" t="s">
        <v>40</v>
      </c>
      <c r="K11" s="31"/>
      <c r="L11" s="32"/>
      <c r="M11" s="33"/>
      <c r="N11" s="33"/>
      <c r="O11" s="34"/>
      <c r="P11" s="35"/>
      <c r="Q11" s="36"/>
      <c r="R11" s="33"/>
      <c r="S11" s="34"/>
    </row>
    <row r="12" spans="1:19">
      <c r="A12" s="30"/>
      <c r="B12" s="48"/>
      <c r="C12" s="49"/>
      <c r="D12" s="30"/>
      <c r="E12" s="48"/>
      <c r="F12" s="50"/>
      <c r="G12" s="49"/>
      <c r="H12" s="30">
        <v>7</v>
      </c>
      <c r="I12" s="51" t="s">
        <v>130</v>
      </c>
      <c r="J12" s="37" t="s">
        <v>40</v>
      </c>
      <c r="K12" s="31"/>
      <c r="L12" s="32"/>
      <c r="M12" s="33"/>
      <c r="N12" s="33"/>
      <c r="O12" s="34"/>
      <c r="P12" s="35"/>
      <c r="Q12" s="36"/>
      <c r="R12" s="33"/>
      <c r="S12" s="34"/>
    </row>
    <row r="13" spans="1:19" ht="31.5">
      <c r="A13" s="30"/>
      <c r="B13" s="48"/>
      <c r="C13" s="49"/>
      <c r="D13" s="30"/>
      <c r="E13" s="48"/>
      <c r="F13" s="50"/>
      <c r="G13" s="49"/>
      <c r="H13" s="30">
        <v>8</v>
      </c>
      <c r="I13" s="52" t="s">
        <v>131</v>
      </c>
      <c r="J13" s="37" t="s">
        <v>40</v>
      </c>
      <c r="K13" s="31"/>
      <c r="L13" s="32"/>
      <c r="M13" s="33"/>
      <c r="N13" s="33"/>
      <c r="O13" s="34"/>
      <c r="P13" s="35"/>
      <c r="Q13" s="36"/>
      <c r="R13" s="33"/>
      <c r="S13" s="34"/>
    </row>
    <row r="14" spans="1:19">
      <c r="A14" s="30"/>
      <c r="B14" s="48"/>
      <c r="C14" s="49"/>
      <c r="D14" s="30">
        <v>2</v>
      </c>
      <c r="E14" s="57" t="s">
        <v>43</v>
      </c>
      <c r="F14" s="59"/>
      <c r="G14" s="58"/>
      <c r="H14" s="30">
        <v>1</v>
      </c>
      <c r="I14" s="51" t="s">
        <v>132</v>
      </c>
      <c r="J14" s="37" t="s">
        <v>133</v>
      </c>
      <c r="K14" s="31"/>
      <c r="L14" s="32"/>
      <c r="M14" s="33"/>
      <c r="N14" s="33"/>
      <c r="O14" s="34"/>
      <c r="P14" s="35"/>
      <c r="Q14" s="36"/>
      <c r="R14" s="33"/>
      <c r="S14" s="34"/>
    </row>
    <row r="15" spans="1:19" ht="31.5">
      <c r="A15" s="30"/>
      <c r="B15" s="48"/>
      <c r="C15" s="49"/>
      <c r="D15" s="30"/>
      <c r="E15" s="48"/>
      <c r="F15" s="50"/>
      <c r="G15" s="49"/>
      <c r="H15" s="30">
        <v>2</v>
      </c>
      <c r="I15" s="51" t="s">
        <v>46</v>
      </c>
      <c r="J15" s="37" t="s">
        <v>109</v>
      </c>
      <c r="K15" s="31"/>
      <c r="L15" s="32"/>
      <c r="M15" s="33"/>
      <c r="N15" s="33"/>
      <c r="O15" s="34"/>
      <c r="P15" s="35"/>
      <c r="Q15" s="36"/>
      <c r="R15" s="33"/>
      <c r="S15" s="34"/>
    </row>
    <row r="16" spans="1:19" ht="31.5">
      <c r="A16" s="30"/>
      <c r="B16" s="48"/>
      <c r="C16" s="49"/>
      <c r="D16" s="30"/>
      <c r="E16" s="48"/>
      <c r="F16" s="50"/>
      <c r="G16" s="49"/>
      <c r="H16" s="30">
        <v>3</v>
      </c>
      <c r="I16" s="51" t="s">
        <v>48</v>
      </c>
      <c r="J16" s="37" t="s">
        <v>110</v>
      </c>
      <c r="K16" s="31"/>
      <c r="L16" s="32"/>
      <c r="M16" s="33"/>
      <c r="N16" s="33"/>
      <c r="O16" s="34"/>
      <c r="P16" s="35"/>
      <c r="Q16" s="36"/>
      <c r="R16" s="33"/>
      <c r="S16" s="34"/>
    </row>
    <row r="17" spans="1:19" ht="31.5">
      <c r="A17" s="30"/>
      <c r="B17" s="48"/>
      <c r="C17" s="49"/>
      <c r="D17" s="30"/>
      <c r="E17" s="48"/>
      <c r="F17" s="50"/>
      <c r="G17" s="49"/>
      <c r="H17" s="30">
        <v>4</v>
      </c>
      <c r="I17" s="51" t="s">
        <v>50</v>
      </c>
      <c r="J17" s="54" t="s">
        <v>111</v>
      </c>
      <c r="K17" s="31"/>
      <c r="L17" s="32"/>
      <c r="M17" s="33"/>
      <c r="N17" s="33"/>
      <c r="O17" s="34"/>
      <c r="P17" s="35"/>
      <c r="Q17" s="36"/>
      <c r="R17" s="33"/>
      <c r="S17" s="34"/>
    </row>
    <row r="18" spans="1:19" ht="31.5">
      <c r="A18" s="30"/>
      <c r="B18" s="48"/>
      <c r="C18" s="49"/>
      <c r="D18" s="30"/>
      <c r="E18" s="48"/>
      <c r="F18" s="50"/>
      <c r="G18" s="49"/>
      <c r="H18" s="30">
        <v>5</v>
      </c>
      <c r="I18" s="51" t="s">
        <v>134</v>
      </c>
      <c r="J18" s="54" t="s">
        <v>135</v>
      </c>
      <c r="K18" s="31"/>
      <c r="L18" s="32"/>
      <c r="M18" s="33"/>
      <c r="N18" s="33"/>
      <c r="O18" s="34"/>
      <c r="P18" s="35"/>
      <c r="Q18" s="36"/>
      <c r="R18" s="33"/>
      <c r="S18" s="34"/>
    </row>
    <row r="19" spans="1:19" ht="31.5">
      <c r="A19" s="30"/>
      <c r="B19" s="48"/>
      <c r="C19" s="49"/>
      <c r="D19" s="30"/>
      <c r="E19" s="48"/>
      <c r="F19" s="50"/>
      <c r="G19" s="49"/>
      <c r="H19" s="30">
        <v>6</v>
      </c>
      <c r="I19" s="51" t="s">
        <v>136</v>
      </c>
      <c r="J19" s="54" t="s">
        <v>137</v>
      </c>
      <c r="K19" s="31"/>
      <c r="L19" s="32"/>
      <c r="M19" s="33"/>
      <c r="N19" s="33"/>
      <c r="O19" s="34"/>
      <c r="P19" s="35"/>
      <c r="Q19" s="36"/>
      <c r="R19" s="33"/>
      <c r="S19" s="34"/>
    </row>
    <row r="20" spans="1:19" ht="31.5">
      <c r="A20" s="30"/>
      <c r="B20" s="48"/>
      <c r="C20" s="49"/>
      <c r="D20" s="30"/>
      <c r="E20" s="48"/>
      <c r="F20" s="50"/>
      <c r="G20" s="49"/>
      <c r="H20" s="30">
        <v>7</v>
      </c>
      <c r="I20" s="51" t="s">
        <v>52</v>
      </c>
      <c r="J20" s="37" t="s">
        <v>112</v>
      </c>
      <c r="K20" s="31"/>
      <c r="L20" s="32"/>
      <c r="M20" s="33"/>
      <c r="N20" s="33"/>
      <c r="O20" s="34"/>
      <c r="P20" s="35"/>
      <c r="Q20" s="36"/>
      <c r="R20" s="33"/>
      <c r="S20" s="34"/>
    </row>
    <row r="21" spans="1:19" ht="31.5">
      <c r="A21" s="30"/>
      <c r="B21" s="48"/>
      <c r="C21" s="49"/>
      <c r="D21" s="30"/>
      <c r="E21" s="48"/>
      <c r="F21" s="50"/>
      <c r="G21" s="49"/>
      <c r="H21" s="30">
        <v>8</v>
      </c>
      <c r="I21" s="51" t="s">
        <v>54</v>
      </c>
      <c r="J21" s="37" t="s">
        <v>113</v>
      </c>
      <c r="K21" s="31"/>
      <c r="L21" s="32"/>
      <c r="M21" s="33"/>
      <c r="N21" s="33"/>
      <c r="O21" s="34"/>
      <c r="P21" s="35"/>
      <c r="Q21" s="36"/>
      <c r="R21" s="33"/>
      <c r="S21" s="34"/>
    </row>
    <row r="22" spans="1:19" ht="31.5">
      <c r="A22" s="30"/>
      <c r="B22" s="48"/>
      <c r="C22" s="49"/>
      <c r="D22" s="30"/>
      <c r="E22" s="48"/>
      <c r="F22" s="50"/>
      <c r="G22" s="49"/>
      <c r="H22" s="30">
        <v>9</v>
      </c>
      <c r="I22" s="51" t="s">
        <v>138</v>
      </c>
      <c r="J22" s="54" t="s">
        <v>139</v>
      </c>
      <c r="K22" s="31"/>
      <c r="L22" s="32"/>
      <c r="M22" s="33"/>
      <c r="N22" s="33"/>
      <c r="O22" s="34"/>
      <c r="P22" s="35"/>
      <c r="Q22" s="36"/>
      <c r="R22" s="33"/>
      <c r="S22" s="34"/>
    </row>
    <row r="23" spans="1:19" ht="31.5">
      <c r="A23" s="30"/>
      <c r="B23" s="48"/>
      <c r="C23" s="49"/>
      <c r="D23" s="30"/>
      <c r="E23" s="48"/>
      <c r="F23" s="50"/>
      <c r="G23" s="49"/>
      <c r="H23" s="30">
        <v>10</v>
      </c>
      <c r="I23" s="51" t="s">
        <v>140</v>
      </c>
      <c r="J23" s="54" t="s">
        <v>141</v>
      </c>
      <c r="K23" s="31"/>
      <c r="L23" s="32"/>
      <c r="M23" s="33"/>
      <c r="N23" s="33"/>
      <c r="O23" s="34"/>
      <c r="P23" s="35"/>
      <c r="Q23" s="36"/>
      <c r="R23" s="33"/>
      <c r="S23" s="34"/>
    </row>
    <row r="24" spans="1:19" ht="110.25">
      <c r="A24" s="30"/>
      <c r="B24" s="48"/>
      <c r="C24" s="49"/>
      <c r="D24" s="30"/>
      <c r="E24" s="48"/>
      <c r="F24" s="50"/>
      <c r="G24" s="49"/>
      <c r="H24" s="30">
        <v>11</v>
      </c>
      <c r="I24" s="51" t="s">
        <v>142</v>
      </c>
      <c r="J24" s="37" t="s">
        <v>143</v>
      </c>
      <c r="K24" s="31"/>
      <c r="L24" s="32"/>
      <c r="M24" s="33"/>
      <c r="N24" s="33"/>
      <c r="O24" s="34"/>
      <c r="P24" s="35"/>
      <c r="Q24" s="36"/>
      <c r="R24" s="33"/>
      <c r="S24" s="34"/>
    </row>
    <row r="25" spans="1:19">
      <c r="A25" s="30"/>
      <c r="B25" s="48"/>
      <c r="C25" s="49"/>
      <c r="D25" s="30"/>
      <c r="E25" s="48"/>
      <c r="F25" s="50"/>
      <c r="G25" s="49"/>
      <c r="H25" s="30">
        <v>12</v>
      </c>
      <c r="I25" s="51" t="s">
        <v>144</v>
      </c>
      <c r="J25" s="37" t="s">
        <v>145</v>
      </c>
      <c r="K25" s="31"/>
      <c r="L25" s="32"/>
      <c r="M25" s="33"/>
      <c r="N25" s="33"/>
      <c r="O25" s="34"/>
      <c r="P25" s="35"/>
      <c r="Q25" s="36"/>
      <c r="R25" s="33"/>
      <c r="S25" s="34"/>
    </row>
    <row r="26" spans="1:19">
      <c r="A26" s="30"/>
      <c r="B26" s="48"/>
      <c r="C26" s="49"/>
      <c r="D26" s="30"/>
      <c r="E26" s="48"/>
      <c r="F26" s="50"/>
      <c r="G26" s="49"/>
      <c r="H26" s="30">
        <v>13</v>
      </c>
      <c r="I26" s="51" t="s">
        <v>146</v>
      </c>
      <c r="J26" s="37" t="s">
        <v>147</v>
      </c>
      <c r="K26" s="31"/>
      <c r="L26" s="32"/>
      <c r="M26" s="33"/>
      <c r="N26" s="33"/>
      <c r="O26" s="34"/>
      <c r="P26" s="35"/>
      <c r="Q26" s="36"/>
      <c r="R26" s="33"/>
      <c r="S26" s="34"/>
    </row>
    <row r="27" spans="1:19">
      <c r="A27" s="30"/>
      <c r="B27" s="48"/>
      <c r="C27" s="49"/>
      <c r="D27" s="30"/>
      <c r="E27" s="48"/>
      <c r="F27" s="50"/>
      <c r="G27" s="49"/>
      <c r="H27" s="30">
        <v>14</v>
      </c>
      <c r="I27" s="51" t="s">
        <v>148</v>
      </c>
      <c r="J27" s="37" t="s">
        <v>149</v>
      </c>
      <c r="K27" s="31"/>
      <c r="L27" s="32"/>
      <c r="M27" s="33"/>
      <c r="N27" s="33"/>
      <c r="O27" s="34"/>
      <c r="P27" s="35"/>
      <c r="Q27" s="36"/>
      <c r="R27" s="33"/>
      <c r="S27" s="34"/>
    </row>
    <row r="28" spans="1:19">
      <c r="A28" s="30"/>
      <c r="B28" s="48"/>
      <c r="C28" s="49"/>
      <c r="D28" s="30"/>
      <c r="E28" s="48"/>
      <c r="F28" s="50"/>
      <c r="G28" s="49"/>
      <c r="H28" s="30">
        <v>15</v>
      </c>
      <c r="I28" s="51" t="s">
        <v>150</v>
      </c>
      <c r="J28" s="37" t="s">
        <v>151</v>
      </c>
      <c r="K28" s="31"/>
      <c r="L28" s="32"/>
      <c r="M28" s="33"/>
      <c r="N28" s="33"/>
      <c r="O28" s="34"/>
      <c r="P28" s="35"/>
      <c r="Q28" s="36"/>
      <c r="R28" s="33"/>
      <c r="S28" s="34"/>
    </row>
    <row r="29" spans="1:19">
      <c r="A29" s="30"/>
      <c r="B29" s="48"/>
      <c r="C29" s="49"/>
      <c r="D29" s="30"/>
      <c r="E29" s="48"/>
      <c r="F29" s="50"/>
      <c r="G29" s="49"/>
      <c r="H29" s="30">
        <v>16</v>
      </c>
      <c r="I29" s="51" t="s">
        <v>152</v>
      </c>
      <c r="J29" s="37" t="s">
        <v>153</v>
      </c>
      <c r="K29" s="31"/>
      <c r="L29" s="32"/>
      <c r="M29" s="33"/>
      <c r="N29" s="33"/>
      <c r="O29" s="34"/>
      <c r="P29" s="35"/>
      <c r="Q29" s="36"/>
      <c r="R29" s="33"/>
      <c r="S29" s="34"/>
    </row>
    <row r="30" spans="1:19" ht="157.5">
      <c r="A30" s="30"/>
      <c r="B30" s="48"/>
      <c r="C30" s="49"/>
      <c r="D30" s="30"/>
      <c r="E30" s="48"/>
      <c r="F30" s="50"/>
      <c r="G30" s="49"/>
      <c r="H30" s="30">
        <v>17</v>
      </c>
      <c r="I30" s="51" t="s">
        <v>154</v>
      </c>
      <c r="J30" s="37" t="s">
        <v>155</v>
      </c>
      <c r="K30" s="31"/>
      <c r="L30" s="32"/>
      <c r="M30" s="33"/>
      <c r="N30" s="33"/>
      <c r="O30" s="34"/>
      <c r="P30" s="35"/>
      <c r="Q30" s="36"/>
      <c r="R30" s="33"/>
      <c r="S30" s="34"/>
    </row>
    <row r="31" spans="1:19">
      <c r="A31" s="30"/>
      <c r="B31" s="48"/>
      <c r="C31" s="49"/>
      <c r="D31" s="30"/>
      <c r="E31" s="48"/>
      <c r="F31" s="50"/>
      <c r="G31" s="49"/>
      <c r="H31" s="30">
        <v>18</v>
      </c>
      <c r="I31" s="51" t="s">
        <v>156</v>
      </c>
      <c r="J31" s="37" t="s">
        <v>157</v>
      </c>
      <c r="K31" s="31"/>
      <c r="L31" s="32"/>
      <c r="M31" s="33"/>
      <c r="N31" s="33"/>
      <c r="O31" s="34"/>
      <c r="P31" s="35"/>
      <c r="Q31" s="36"/>
      <c r="R31" s="33"/>
      <c r="S31" s="34"/>
    </row>
    <row r="32" spans="1:19">
      <c r="A32" s="30"/>
      <c r="B32" s="48"/>
      <c r="C32" s="49"/>
      <c r="D32" s="30"/>
      <c r="E32" s="48"/>
      <c r="F32" s="50"/>
      <c r="G32" s="49"/>
      <c r="H32" s="30">
        <v>19</v>
      </c>
      <c r="I32" s="51" t="s">
        <v>146</v>
      </c>
      <c r="J32" s="37" t="s">
        <v>158</v>
      </c>
      <c r="K32" s="31"/>
      <c r="L32" s="32"/>
      <c r="M32" s="33"/>
      <c r="N32" s="33"/>
      <c r="O32" s="34"/>
      <c r="P32" s="35"/>
      <c r="Q32" s="36"/>
      <c r="R32" s="33"/>
      <c r="S32" s="34"/>
    </row>
    <row r="33" spans="1:19">
      <c r="A33" s="30"/>
      <c r="B33" s="48"/>
      <c r="C33" s="49"/>
      <c r="D33" s="30"/>
      <c r="E33" s="48"/>
      <c r="F33" s="50"/>
      <c r="G33" s="49"/>
      <c r="H33" s="30">
        <v>20</v>
      </c>
      <c r="I33" s="51" t="s">
        <v>159</v>
      </c>
      <c r="J33" s="37" t="s">
        <v>160</v>
      </c>
      <c r="K33" s="31"/>
      <c r="L33" s="32"/>
      <c r="M33" s="33"/>
      <c r="N33" s="33"/>
      <c r="O33" s="34"/>
      <c r="P33" s="35"/>
      <c r="Q33" s="36"/>
      <c r="R33" s="33"/>
      <c r="S33" s="34"/>
    </row>
    <row r="34" spans="1:19" ht="94.5">
      <c r="A34" s="30"/>
      <c r="B34" s="48"/>
      <c r="C34" s="49"/>
      <c r="D34" s="30"/>
      <c r="E34" s="48"/>
      <c r="F34" s="50"/>
      <c r="G34" s="49"/>
      <c r="H34" s="30">
        <v>21</v>
      </c>
      <c r="I34" s="51" t="s">
        <v>161</v>
      </c>
      <c r="J34" s="37" t="s">
        <v>162</v>
      </c>
      <c r="K34" s="31"/>
      <c r="L34" s="32"/>
      <c r="M34" s="33"/>
      <c r="N34" s="33"/>
      <c r="O34" s="34"/>
      <c r="P34" s="35"/>
      <c r="Q34" s="36"/>
      <c r="R34" s="33"/>
      <c r="S34" s="34"/>
    </row>
    <row r="35" spans="1:19">
      <c r="A35" s="30"/>
      <c r="B35" s="48"/>
      <c r="C35" s="49"/>
      <c r="D35" s="30"/>
      <c r="E35" s="48"/>
      <c r="F35" s="50"/>
      <c r="G35" s="49"/>
      <c r="H35" s="30">
        <v>22</v>
      </c>
      <c r="I35" s="51" t="s">
        <v>163</v>
      </c>
      <c r="J35" s="37" t="s">
        <v>164</v>
      </c>
      <c r="K35" s="31"/>
      <c r="L35" s="32"/>
      <c r="M35" s="33"/>
      <c r="N35" s="33"/>
      <c r="O35" s="34"/>
      <c r="P35" s="35"/>
      <c r="Q35" s="36"/>
      <c r="R35" s="33"/>
      <c r="S35" s="34"/>
    </row>
    <row r="36" spans="1:19">
      <c r="A36" s="30"/>
      <c r="B36" s="48"/>
      <c r="C36" s="49"/>
      <c r="D36" s="30"/>
      <c r="E36" s="48"/>
      <c r="F36" s="50"/>
      <c r="G36" s="49"/>
      <c r="H36" s="30">
        <v>23</v>
      </c>
      <c r="I36" s="51" t="s">
        <v>156</v>
      </c>
      <c r="J36" s="37" t="s">
        <v>165</v>
      </c>
      <c r="K36" s="31"/>
      <c r="L36" s="32"/>
      <c r="M36" s="33"/>
      <c r="N36" s="33"/>
      <c r="O36" s="34"/>
      <c r="P36" s="35"/>
      <c r="Q36" s="36"/>
      <c r="R36" s="33"/>
      <c r="S36" s="34"/>
    </row>
    <row r="37" spans="1:19">
      <c r="A37" s="30"/>
      <c r="B37" s="48"/>
      <c r="C37" s="49"/>
      <c r="D37" s="30"/>
      <c r="E37" s="48"/>
      <c r="F37" s="50"/>
      <c r="G37" s="49"/>
      <c r="H37" s="30">
        <v>24</v>
      </c>
      <c r="I37" s="51" t="s">
        <v>166</v>
      </c>
      <c r="J37" s="37" t="s">
        <v>167</v>
      </c>
      <c r="K37" s="31"/>
      <c r="L37" s="32"/>
      <c r="M37" s="33"/>
      <c r="N37" s="33"/>
      <c r="O37" s="34"/>
      <c r="P37" s="35"/>
      <c r="Q37" s="36"/>
      <c r="R37" s="33"/>
      <c r="S37" s="34"/>
    </row>
    <row r="38" spans="1:19">
      <c r="A38" s="30"/>
      <c r="B38" s="48"/>
      <c r="C38" s="49"/>
      <c r="D38" s="30"/>
      <c r="E38" s="48"/>
      <c r="F38" s="50"/>
      <c r="G38" s="49"/>
      <c r="H38" s="30">
        <v>25</v>
      </c>
      <c r="I38" s="51" t="s">
        <v>168</v>
      </c>
      <c r="J38" s="37" t="s">
        <v>169</v>
      </c>
      <c r="K38" s="31"/>
      <c r="L38" s="32"/>
      <c r="M38" s="33"/>
      <c r="N38" s="33"/>
      <c r="O38" s="34"/>
      <c r="P38" s="35"/>
      <c r="Q38" s="36"/>
      <c r="R38" s="33"/>
      <c r="S38" s="34"/>
    </row>
    <row r="39" spans="1:19">
      <c r="A39" s="30"/>
      <c r="B39" s="48"/>
      <c r="C39" s="49"/>
      <c r="D39" s="30"/>
      <c r="E39" s="48"/>
      <c r="F39" s="50"/>
      <c r="G39" s="49"/>
      <c r="H39" s="30"/>
      <c r="I39" s="51"/>
      <c r="J39" s="53" t="s">
        <v>170</v>
      </c>
      <c r="K39" s="31"/>
      <c r="L39" s="32"/>
      <c r="M39" s="33"/>
      <c r="N39" s="33"/>
      <c r="O39" s="34"/>
      <c r="P39" s="35"/>
      <c r="Q39" s="36"/>
      <c r="R39" s="33"/>
      <c r="S39" s="34"/>
    </row>
    <row r="40" spans="1:19" ht="126">
      <c r="A40" s="30"/>
      <c r="B40" s="48"/>
      <c r="C40" s="49"/>
      <c r="D40" s="30"/>
      <c r="E40" s="48"/>
      <c r="F40" s="50"/>
      <c r="G40" s="49"/>
      <c r="H40" s="30">
        <v>26</v>
      </c>
      <c r="I40" s="51" t="s">
        <v>171</v>
      </c>
      <c r="J40" s="37" t="s">
        <v>172</v>
      </c>
      <c r="K40" s="31"/>
      <c r="L40" s="32"/>
      <c r="M40" s="33"/>
      <c r="N40" s="33"/>
      <c r="O40" s="34"/>
      <c r="P40" s="35"/>
      <c r="Q40" s="36"/>
      <c r="R40" s="33"/>
      <c r="S40" s="34"/>
    </row>
    <row r="41" spans="1:19">
      <c r="A41" s="30"/>
      <c r="B41" s="48"/>
      <c r="C41" s="49"/>
      <c r="D41" s="30"/>
      <c r="E41" s="48"/>
      <c r="F41" s="50"/>
      <c r="G41" s="49"/>
      <c r="H41" s="30">
        <v>27</v>
      </c>
      <c r="I41" s="51" t="s">
        <v>173</v>
      </c>
      <c r="J41" s="37" t="s">
        <v>174</v>
      </c>
      <c r="K41" s="31"/>
      <c r="L41" s="32"/>
      <c r="M41" s="33"/>
      <c r="N41" s="33"/>
      <c r="O41" s="34"/>
      <c r="P41" s="35"/>
      <c r="Q41" s="36"/>
      <c r="R41" s="33"/>
      <c r="S41" s="34"/>
    </row>
    <row r="42" spans="1:19" ht="31.5">
      <c r="A42" s="30"/>
      <c r="B42" s="48"/>
      <c r="C42" s="49"/>
      <c r="D42" s="30"/>
      <c r="E42" s="48"/>
      <c r="F42" s="50"/>
      <c r="G42" s="49"/>
      <c r="H42" s="30">
        <v>28</v>
      </c>
      <c r="I42" s="51" t="s">
        <v>175</v>
      </c>
      <c r="J42" s="37" t="s">
        <v>176</v>
      </c>
      <c r="K42" s="31"/>
      <c r="L42" s="32"/>
      <c r="M42" s="33"/>
      <c r="N42" s="33"/>
      <c r="O42" s="34"/>
      <c r="P42" s="35"/>
      <c r="Q42" s="36"/>
      <c r="R42" s="33"/>
      <c r="S42" s="34"/>
    </row>
    <row r="43" spans="1:19">
      <c r="A43" s="30"/>
      <c r="B43" s="48"/>
      <c r="C43" s="49"/>
      <c r="D43" s="30"/>
      <c r="E43" s="48"/>
      <c r="F43" s="50"/>
      <c r="G43" s="49"/>
      <c r="H43" s="30">
        <v>29</v>
      </c>
      <c r="I43" s="51" t="s">
        <v>177</v>
      </c>
      <c r="J43" s="37" t="s">
        <v>178</v>
      </c>
      <c r="K43" s="31"/>
      <c r="L43" s="32"/>
      <c r="M43" s="33"/>
      <c r="N43" s="33"/>
      <c r="O43" s="34"/>
      <c r="P43" s="35"/>
      <c r="Q43" s="36"/>
      <c r="R43" s="33"/>
      <c r="S43" s="34"/>
    </row>
    <row r="44" spans="1:19" ht="189">
      <c r="A44" s="30"/>
      <c r="B44" s="48"/>
      <c r="C44" s="49"/>
      <c r="D44" s="30"/>
      <c r="E44" s="48"/>
      <c r="F44" s="50"/>
      <c r="G44" s="49"/>
      <c r="H44" s="30">
        <v>30</v>
      </c>
      <c r="I44" s="51" t="s">
        <v>179</v>
      </c>
      <c r="J44" s="37" t="s">
        <v>180</v>
      </c>
      <c r="K44" s="31"/>
      <c r="L44" s="32"/>
      <c r="M44" s="33"/>
      <c r="N44" s="33"/>
      <c r="O44" s="34"/>
      <c r="P44" s="35"/>
      <c r="Q44" s="36"/>
      <c r="R44" s="33"/>
      <c r="S44" s="34"/>
    </row>
    <row r="45" spans="1:19">
      <c r="A45" s="30"/>
      <c r="B45" s="48"/>
      <c r="C45" s="49"/>
      <c r="D45" s="30"/>
      <c r="E45" s="48"/>
      <c r="F45" s="50"/>
      <c r="G45" s="49"/>
      <c r="H45" s="30">
        <v>31</v>
      </c>
      <c r="I45" s="51" t="s">
        <v>181</v>
      </c>
      <c r="J45" s="37" t="s">
        <v>182</v>
      </c>
      <c r="K45" s="31"/>
      <c r="L45" s="32"/>
      <c r="M45" s="33"/>
      <c r="N45" s="33"/>
      <c r="O45" s="34"/>
      <c r="P45" s="35"/>
      <c r="Q45" s="36"/>
      <c r="R45" s="33"/>
      <c r="S45" s="34"/>
    </row>
    <row r="46" spans="1:19">
      <c r="A46" s="30"/>
      <c r="B46" s="48"/>
      <c r="C46" s="49"/>
      <c r="D46" s="30"/>
      <c r="E46" s="48"/>
      <c r="F46" s="50"/>
      <c r="G46" s="49"/>
      <c r="H46" s="30">
        <v>32</v>
      </c>
      <c r="I46" s="51" t="s">
        <v>183</v>
      </c>
      <c r="J46" s="37" t="s">
        <v>184</v>
      </c>
      <c r="K46" s="31"/>
      <c r="L46" s="32"/>
      <c r="M46" s="33"/>
      <c r="N46" s="33"/>
      <c r="O46" s="34"/>
      <c r="P46" s="35"/>
      <c r="Q46" s="36"/>
      <c r="R46" s="33"/>
      <c r="S46" s="34"/>
    </row>
    <row r="47" spans="1:19">
      <c r="A47" s="30"/>
      <c r="B47" s="48"/>
      <c r="C47" s="49"/>
      <c r="D47" s="30"/>
      <c r="E47" s="48"/>
      <c r="F47" s="50"/>
      <c r="G47" s="49"/>
      <c r="H47" s="30">
        <v>33</v>
      </c>
      <c r="I47" s="51" t="s">
        <v>185</v>
      </c>
      <c r="J47" s="37" t="s">
        <v>186</v>
      </c>
      <c r="K47" s="31"/>
      <c r="L47" s="32"/>
      <c r="M47" s="33"/>
      <c r="N47" s="33"/>
      <c r="O47" s="34"/>
      <c r="P47" s="35"/>
      <c r="Q47" s="36"/>
      <c r="R47" s="33"/>
      <c r="S47" s="34"/>
    </row>
    <row r="48" spans="1:19">
      <c r="A48" s="30"/>
      <c r="B48" s="48"/>
      <c r="C48" s="49"/>
      <c r="D48" s="30"/>
      <c r="E48" s="48"/>
      <c r="F48" s="50"/>
      <c r="G48" s="49"/>
      <c r="H48" s="30">
        <v>34</v>
      </c>
      <c r="I48" s="51" t="s">
        <v>187</v>
      </c>
      <c r="J48" s="37" t="s">
        <v>188</v>
      </c>
      <c r="K48" s="31"/>
      <c r="L48" s="32"/>
      <c r="M48" s="33"/>
      <c r="N48" s="33"/>
      <c r="O48" s="34"/>
      <c r="P48" s="35"/>
      <c r="Q48" s="36"/>
      <c r="R48" s="33"/>
      <c r="S48" s="34"/>
    </row>
    <row r="49" spans="1:19" ht="126">
      <c r="A49" s="30"/>
      <c r="B49" s="48"/>
      <c r="C49" s="49"/>
      <c r="D49" s="30"/>
      <c r="E49" s="48"/>
      <c r="F49" s="50"/>
      <c r="G49" s="49"/>
      <c r="H49" s="30">
        <v>35</v>
      </c>
      <c r="I49" s="51" t="s">
        <v>189</v>
      </c>
      <c r="J49" s="37" t="s">
        <v>190</v>
      </c>
      <c r="K49" s="31"/>
      <c r="L49" s="32"/>
      <c r="M49" s="33"/>
      <c r="N49" s="33"/>
      <c r="O49" s="34"/>
      <c r="P49" s="35"/>
      <c r="Q49" s="36"/>
      <c r="R49" s="33"/>
      <c r="S49" s="34"/>
    </row>
    <row r="50" spans="1:19">
      <c r="A50" s="30"/>
      <c r="B50" s="48"/>
      <c r="C50" s="49"/>
      <c r="D50" s="30"/>
      <c r="E50" s="48"/>
      <c r="F50" s="50"/>
      <c r="G50" s="49"/>
      <c r="H50" s="30">
        <v>36</v>
      </c>
      <c r="I50" s="51" t="s">
        <v>191</v>
      </c>
      <c r="J50" s="37" t="s">
        <v>192</v>
      </c>
      <c r="K50" s="31"/>
      <c r="L50" s="32"/>
      <c r="M50" s="33"/>
      <c r="N50" s="33"/>
      <c r="O50" s="34"/>
      <c r="P50" s="35"/>
      <c r="Q50" s="36"/>
      <c r="R50" s="33"/>
      <c r="S50" s="34"/>
    </row>
    <row r="51" spans="1:19">
      <c r="A51" s="30"/>
      <c r="B51" s="48"/>
      <c r="C51" s="49"/>
      <c r="D51" s="30"/>
      <c r="E51" s="48"/>
      <c r="F51" s="50"/>
      <c r="G51" s="49"/>
      <c r="H51" s="30">
        <v>37</v>
      </c>
      <c r="I51" s="51" t="s">
        <v>193</v>
      </c>
      <c r="J51" s="37" t="s">
        <v>192</v>
      </c>
      <c r="K51" s="31"/>
      <c r="L51" s="32"/>
      <c r="M51" s="33"/>
      <c r="N51" s="33"/>
      <c r="O51" s="34"/>
      <c r="P51" s="35"/>
      <c r="Q51" s="36"/>
      <c r="R51" s="33"/>
      <c r="S51" s="34"/>
    </row>
    <row r="52" spans="1:19">
      <c r="A52" s="30"/>
      <c r="B52" s="48"/>
      <c r="C52" s="49"/>
      <c r="D52" s="30"/>
      <c r="E52" s="48"/>
      <c r="F52" s="50"/>
      <c r="G52" s="49"/>
      <c r="H52" s="30">
        <v>38</v>
      </c>
      <c r="I52" s="51" t="s">
        <v>194</v>
      </c>
      <c r="J52" s="37" t="s">
        <v>195</v>
      </c>
      <c r="K52" s="31"/>
      <c r="L52" s="32"/>
      <c r="M52" s="33"/>
      <c r="N52" s="33"/>
      <c r="O52" s="34"/>
      <c r="P52" s="35"/>
      <c r="Q52" s="36"/>
      <c r="R52" s="33"/>
      <c r="S52" s="34"/>
    </row>
    <row r="53" spans="1:19" ht="94.5">
      <c r="A53" s="30"/>
      <c r="B53" s="48"/>
      <c r="C53" s="49"/>
      <c r="D53" s="30"/>
      <c r="E53" s="48"/>
      <c r="F53" s="50"/>
      <c r="G53" s="49"/>
      <c r="H53" s="30">
        <v>39</v>
      </c>
      <c r="I53" s="51" t="s">
        <v>56</v>
      </c>
      <c r="J53" s="37" t="s">
        <v>196</v>
      </c>
      <c r="K53" s="31"/>
      <c r="L53" s="32"/>
      <c r="M53" s="33"/>
      <c r="N53" s="33"/>
      <c r="O53" s="34"/>
      <c r="P53" s="35"/>
      <c r="Q53" s="36"/>
      <c r="R53" s="33"/>
      <c r="S53" s="34"/>
    </row>
    <row r="54" spans="1:19" ht="110.25">
      <c r="A54" s="30"/>
      <c r="B54" s="48"/>
      <c r="C54" s="49"/>
      <c r="D54" s="30"/>
      <c r="E54" s="48"/>
      <c r="F54" s="50"/>
      <c r="G54" s="49"/>
      <c r="H54" s="30">
        <v>40</v>
      </c>
      <c r="I54" s="51" t="s">
        <v>58</v>
      </c>
      <c r="J54" s="37" t="s">
        <v>197</v>
      </c>
      <c r="K54" s="31"/>
      <c r="L54" s="32"/>
      <c r="M54" s="33"/>
      <c r="N54" s="33"/>
      <c r="O54" s="34"/>
      <c r="P54" s="35"/>
      <c r="Q54" s="36"/>
      <c r="R54" s="33"/>
      <c r="S54" s="34"/>
    </row>
    <row r="55" spans="1:19" ht="110.25">
      <c r="A55" s="30"/>
      <c r="B55" s="48"/>
      <c r="C55" s="49"/>
      <c r="D55" s="30"/>
      <c r="E55" s="48"/>
      <c r="F55" s="50"/>
      <c r="G55" s="49"/>
      <c r="H55" s="30">
        <v>41</v>
      </c>
      <c r="I55" s="51" t="s">
        <v>60</v>
      </c>
      <c r="J55" s="37" t="s">
        <v>198</v>
      </c>
      <c r="K55" s="31"/>
      <c r="L55" s="32"/>
      <c r="M55" s="33"/>
      <c r="N55" s="33"/>
      <c r="O55" s="34"/>
      <c r="P55" s="35"/>
      <c r="Q55" s="36"/>
      <c r="R55" s="33"/>
      <c r="S55" s="34"/>
    </row>
    <row r="56" spans="1:19" ht="126">
      <c r="A56" s="30"/>
      <c r="B56" s="48"/>
      <c r="C56" s="49"/>
      <c r="D56" s="30"/>
      <c r="E56" s="48"/>
      <c r="F56" s="50"/>
      <c r="G56" s="49"/>
      <c r="H56" s="30">
        <v>42</v>
      </c>
      <c r="I56" s="51" t="s">
        <v>62</v>
      </c>
      <c r="J56" s="37" t="s">
        <v>199</v>
      </c>
      <c r="K56" s="31"/>
      <c r="L56" s="32"/>
      <c r="M56" s="33"/>
      <c r="N56" s="33"/>
      <c r="O56" s="34"/>
      <c r="P56" s="35"/>
      <c r="Q56" s="36"/>
      <c r="R56" s="33"/>
      <c r="S56" s="34"/>
    </row>
    <row r="57" spans="1:19" ht="31.5">
      <c r="A57" s="30"/>
      <c r="B57" s="48"/>
      <c r="C57" s="49"/>
      <c r="D57" s="30"/>
      <c r="E57" s="48"/>
      <c r="F57" s="50"/>
      <c r="G57" s="49"/>
      <c r="H57" s="30">
        <v>43</v>
      </c>
      <c r="I57" s="51" t="s">
        <v>64</v>
      </c>
      <c r="J57" s="37" t="s">
        <v>117</v>
      </c>
      <c r="K57" s="31"/>
      <c r="L57" s="32"/>
      <c r="M57" s="33"/>
      <c r="N57" s="33"/>
      <c r="O57" s="34"/>
      <c r="P57" s="35"/>
      <c r="Q57" s="36"/>
      <c r="R57" s="33"/>
      <c r="S57" s="34"/>
    </row>
    <row r="58" spans="1:19" ht="31.5">
      <c r="A58" s="30"/>
      <c r="B58" s="48"/>
      <c r="C58" s="49"/>
      <c r="D58" s="30"/>
      <c r="E58" s="48"/>
      <c r="F58" s="50"/>
      <c r="G58" s="49"/>
      <c r="H58" s="30">
        <v>44</v>
      </c>
      <c r="I58" s="51" t="s">
        <v>66</v>
      </c>
      <c r="J58" s="37" t="s">
        <v>118</v>
      </c>
      <c r="K58" s="31"/>
      <c r="L58" s="32"/>
      <c r="M58" s="33"/>
      <c r="N58" s="33"/>
      <c r="O58" s="34"/>
      <c r="P58" s="35"/>
      <c r="Q58" s="36"/>
      <c r="R58" s="33"/>
      <c r="S58" s="34"/>
    </row>
    <row r="59" spans="1:19" ht="31.5">
      <c r="A59" s="30"/>
      <c r="B59" s="48"/>
      <c r="C59" s="49"/>
      <c r="D59" s="30"/>
      <c r="E59" s="48"/>
      <c r="F59" s="50"/>
      <c r="G59" s="49"/>
      <c r="H59" s="30">
        <v>45</v>
      </c>
      <c r="I59" s="51" t="s">
        <v>68</v>
      </c>
      <c r="J59" s="37" t="s">
        <v>119</v>
      </c>
      <c r="K59" s="31"/>
      <c r="L59" s="32"/>
      <c r="M59" s="33"/>
      <c r="N59" s="33"/>
      <c r="O59" s="34"/>
      <c r="P59" s="35"/>
      <c r="Q59" s="36"/>
      <c r="R59" s="33"/>
      <c r="S59" s="34"/>
    </row>
    <row r="60" spans="1:19">
      <c r="A60" s="30"/>
      <c r="B60" s="48"/>
      <c r="C60" s="49"/>
      <c r="D60" s="30">
        <v>3</v>
      </c>
      <c r="E60" s="57" t="s">
        <v>200</v>
      </c>
      <c r="F60" s="59"/>
      <c r="G60" s="58"/>
      <c r="H60" s="30"/>
      <c r="I60" s="51" t="s">
        <v>201</v>
      </c>
      <c r="J60" s="37" t="s">
        <v>202</v>
      </c>
      <c r="K60" s="31"/>
      <c r="L60" s="32"/>
      <c r="M60" s="33"/>
      <c r="N60" s="33"/>
      <c r="O60" s="34"/>
      <c r="P60" s="35"/>
      <c r="Q60" s="36"/>
      <c r="R60" s="33"/>
      <c r="S60" s="34"/>
    </row>
    <row r="61" spans="1:19" ht="136.5" customHeight="1">
      <c r="A61" s="30">
        <v>2</v>
      </c>
      <c r="B61" s="57" t="s">
        <v>203</v>
      </c>
      <c r="C61" s="58"/>
      <c r="D61" s="30">
        <v>1</v>
      </c>
      <c r="E61" s="57" t="s">
        <v>43</v>
      </c>
      <c r="F61" s="59"/>
      <c r="G61" s="58"/>
      <c r="H61" s="30">
        <v>1</v>
      </c>
      <c r="I61" s="51" t="s">
        <v>44</v>
      </c>
      <c r="J61" s="37" t="s">
        <v>71</v>
      </c>
      <c r="K61" s="31"/>
      <c r="L61" s="32"/>
      <c r="M61" s="33"/>
      <c r="N61" s="33"/>
      <c r="O61" s="34"/>
      <c r="P61" s="35"/>
      <c r="Q61" s="36"/>
      <c r="R61" s="33"/>
      <c r="S61" s="34"/>
    </row>
    <row r="62" spans="1:19">
      <c r="A62" s="30"/>
      <c r="B62" s="48"/>
      <c r="C62" s="49"/>
      <c r="D62" s="30">
        <v>2</v>
      </c>
      <c r="E62" s="57" t="s">
        <v>43</v>
      </c>
      <c r="F62" s="59"/>
      <c r="G62" s="58"/>
      <c r="H62" s="30">
        <v>1</v>
      </c>
      <c r="I62" s="51" t="s">
        <v>132</v>
      </c>
      <c r="J62" s="37" t="s">
        <v>71</v>
      </c>
      <c r="K62" s="31"/>
      <c r="L62" s="32"/>
      <c r="M62" s="33"/>
      <c r="N62" s="33"/>
      <c r="O62" s="34"/>
      <c r="P62" s="35"/>
      <c r="Q62" s="36"/>
      <c r="R62" s="33"/>
      <c r="S62" s="34"/>
    </row>
    <row r="63" spans="1:19">
      <c r="A63" s="30"/>
      <c r="B63" s="48"/>
      <c r="C63" s="49"/>
      <c r="D63" s="30"/>
      <c r="E63" s="48"/>
      <c r="F63" s="50"/>
      <c r="G63" s="49"/>
      <c r="H63" s="30">
        <v>2</v>
      </c>
      <c r="I63" s="51" t="s">
        <v>46</v>
      </c>
      <c r="J63" s="37" t="s">
        <v>72</v>
      </c>
      <c r="K63" s="31"/>
      <c r="L63" s="32"/>
      <c r="M63" s="33"/>
      <c r="N63" s="33"/>
      <c r="O63" s="34"/>
      <c r="P63" s="35"/>
      <c r="Q63" s="36"/>
      <c r="R63" s="33"/>
      <c r="S63" s="34"/>
    </row>
    <row r="64" spans="1:19">
      <c r="A64" s="30"/>
      <c r="B64" s="48"/>
      <c r="C64" s="49"/>
      <c r="D64" s="30"/>
      <c r="E64" s="48"/>
      <c r="F64" s="50"/>
      <c r="G64" s="49"/>
      <c r="H64" s="30">
        <v>3</v>
      </c>
      <c r="I64" s="51" t="s">
        <v>48</v>
      </c>
      <c r="J64" s="37" t="s">
        <v>73</v>
      </c>
      <c r="K64" s="31"/>
      <c r="L64" s="32"/>
      <c r="M64" s="33"/>
      <c r="N64" s="33"/>
      <c r="O64" s="34"/>
      <c r="P64" s="35"/>
      <c r="Q64" s="36"/>
      <c r="R64" s="33"/>
      <c r="S64" s="34"/>
    </row>
    <row r="65" spans="1:19">
      <c r="A65" s="30"/>
      <c r="B65" s="48"/>
      <c r="C65" s="49"/>
      <c r="D65" s="30"/>
      <c r="E65" s="48"/>
      <c r="F65" s="50"/>
      <c r="G65" s="49"/>
      <c r="H65" s="30">
        <v>4</v>
      </c>
      <c r="I65" s="51" t="s">
        <v>50</v>
      </c>
      <c r="J65" s="37" t="s">
        <v>74</v>
      </c>
      <c r="K65" s="31"/>
      <c r="L65" s="32"/>
      <c r="M65" s="33"/>
      <c r="N65" s="33"/>
      <c r="O65" s="34"/>
      <c r="P65" s="35"/>
      <c r="Q65" s="36"/>
      <c r="R65" s="33"/>
      <c r="S65" s="34"/>
    </row>
    <row r="66" spans="1:19">
      <c r="A66" s="30"/>
      <c r="B66" s="48"/>
      <c r="C66" s="49"/>
      <c r="D66" s="30"/>
      <c r="E66" s="48"/>
      <c r="F66" s="50"/>
      <c r="G66" s="49"/>
      <c r="H66" s="30">
        <v>5</v>
      </c>
      <c r="I66" s="51" t="s">
        <v>134</v>
      </c>
      <c r="J66" s="37" t="s">
        <v>75</v>
      </c>
      <c r="K66" s="31"/>
      <c r="L66" s="32"/>
      <c r="M66" s="33"/>
      <c r="N66" s="33"/>
      <c r="O66" s="34"/>
      <c r="P66" s="35"/>
      <c r="Q66" s="36"/>
      <c r="R66" s="33"/>
      <c r="S66" s="34"/>
    </row>
    <row r="67" spans="1:19">
      <c r="A67" s="30"/>
      <c r="B67" s="48"/>
      <c r="C67" s="49"/>
      <c r="D67" s="30"/>
      <c r="E67" s="48"/>
      <c r="F67" s="50"/>
      <c r="G67" s="49"/>
      <c r="H67" s="30">
        <v>6</v>
      </c>
      <c r="I67" s="51" t="s">
        <v>136</v>
      </c>
      <c r="J67" s="37" t="s">
        <v>76</v>
      </c>
      <c r="K67" s="31"/>
      <c r="L67" s="32"/>
      <c r="M67" s="33"/>
      <c r="N67" s="33"/>
      <c r="O67" s="34"/>
      <c r="P67" s="35"/>
      <c r="Q67" s="36"/>
      <c r="R67" s="33"/>
      <c r="S67" s="34"/>
    </row>
    <row r="68" spans="1:19">
      <c r="A68" s="30"/>
      <c r="B68" s="48"/>
      <c r="C68" s="49"/>
      <c r="D68" s="30"/>
      <c r="E68" s="48"/>
      <c r="F68" s="50"/>
      <c r="G68" s="49"/>
      <c r="H68" s="30">
        <v>7</v>
      </c>
      <c r="I68" s="51" t="s">
        <v>52</v>
      </c>
      <c r="J68" s="37" t="s">
        <v>77</v>
      </c>
      <c r="K68" s="31"/>
      <c r="L68" s="32"/>
      <c r="M68" s="33"/>
      <c r="N68" s="33"/>
      <c r="O68" s="34"/>
      <c r="P68" s="35"/>
      <c r="Q68" s="36"/>
      <c r="R68" s="33"/>
      <c r="S68" s="34"/>
    </row>
    <row r="69" spans="1:19">
      <c r="A69" s="30"/>
      <c r="B69" s="48"/>
      <c r="C69" s="49"/>
      <c r="D69" s="30"/>
      <c r="E69" s="48"/>
      <c r="F69" s="50"/>
      <c r="G69" s="49"/>
      <c r="H69" s="30">
        <v>8</v>
      </c>
      <c r="I69" s="51" t="s">
        <v>54</v>
      </c>
      <c r="J69" s="37" t="s">
        <v>78</v>
      </c>
      <c r="K69" s="31"/>
      <c r="L69" s="32"/>
      <c r="M69" s="33"/>
      <c r="N69" s="33"/>
      <c r="O69" s="34"/>
      <c r="P69" s="35"/>
      <c r="Q69" s="36"/>
      <c r="R69" s="33"/>
      <c r="S69" s="34"/>
    </row>
    <row r="70" spans="1:19">
      <c r="A70" s="30"/>
      <c r="B70" s="48"/>
      <c r="C70" s="49"/>
      <c r="D70" s="30"/>
      <c r="E70" s="48"/>
      <c r="F70" s="50"/>
      <c r="G70" s="49"/>
      <c r="H70" s="30">
        <v>9</v>
      </c>
      <c r="I70" s="51" t="s">
        <v>138</v>
      </c>
      <c r="J70" s="37" t="s">
        <v>79</v>
      </c>
      <c r="K70" s="31"/>
      <c r="L70" s="32"/>
      <c r="M70" s="33"/>
      <c r="N70" s="33"/>
      <c r="O70" s="34"/>
      <c r="P70" s="35"/>
      <c r="Q70" s="36"/>
      <c r="R70" s="33"/>
      <c r="S70" s="34"/>
    </row>
    <row r="71" spans="1:19">
      <c r="A71" s="30"/>
      <c r="B71" s="48"/>
      <c r="C71" s="49"/>
      <c r="D71" s="30"/>
      <c r="E71" s="48"/>
      <c r="F71" s="50"/>
      <c r="G71" s="49"/>
      <c r="H71" s="30">
        <v>10</v>
      </c>
      <c r="I71" s="51" t="s">
        <v>140</v>
      </c>
      <c r="J71" s="37" t="s">
        <v>80</v>
      </c>
      <c r="K71" s="31"/>
      <c r="L71" s="32"/>
      <c r="M71" s="33"/>
      <c r="N71" s="33"/>
      <c r="O71" s="34"/>
      <c r="P71" s="35"/>
      <c r="Q71" s="36"/>
      <c r="R71" s="33"/>
      <c r="S71" s="34"/>
    </row>
    <row r="72" spans="1:19">
      <c r="A72" s="30"/>
      <c r="B72" s="48"/>
      <c r="C72" s="49"/>
      <c r="D72" s="30"/>
      <c r="E72" s="48"/>
      <c r="F72" s="50"/>
      <c r="G72" s="49"/>
      <c r="H72" s="30">
        <v>11</v>
      </c>
      <c r="I72" s="51" t="s">
        <v>142</v>
      </c>
      <c r="J72" s="37" t="s">
        <v>81</v>
      </c>
      <c r="K72" s="31"/>
      <c r="L72" s="32"/>
      <c r="M72" s="33"/>
      <c r="N72" s="33"/>
      <c r="O72" s="34"/>
      <c r="P72" s="35"/>
      <c r="Q72" s="36"/>
      <c r="R72" s="33"/>
      <c r="S72" s="34"/>
    </row>
    <row r="73" spans="1:19">
      <c r="A73" s="30"/>
      <c r="B73" s="48"/>
      <c r="C73" s="49"/>
      <c r="D73" s="30"/>
      <c r="E73" s="48"/>
      <c r="F73" s="50"/>
      <c r="G73" s="49"/>
      <c r="H73" s="30">
        <v>12</v>
      </c>
      <c r="I73" s="51" t="s">
        <v>144</v>
      </c>
      <c r="J73" s="37" t="s">
        <v>82</v>
      </c>
      <c r="K73" s="31"/>
      <c r="L73" s="32"/>
      <c r="M73" s="33"/>
      <c r="N73" s="33"/>
      <c r="O73" s="34"/>
      <c r="P73" s="35"/>
      <c r="Q73" s="36"/>
      <c r="R73" s="33"/>
      <c r="S73" s="34"/>
    </row>
    <row r="74" spans="1:19">
      <c r="A74" s="30"/>
      <c r="B74" s="48"/>
      <c r="C74" s="49"/>
      <c r="D74" s="30"/>
      <c r="E74" s="48"/>
      <c r="F74" s="50"/>
      <c r="G74" s="49"/>
      <c r="H74" s="30">
        <v>13</v>
      </c>
      <c r="I74" s="51" t="s">
        <v>146</v>
      </c>
      <c r="J74" s="37" t="s">
        <v>83</v>
      </c>
      <c r="K74" s="31"/>
      <c r="L74" s="32"/>
      <c r="M74" s="33"/>
      <c r="N74" s="33"/>
      <c r="O74" s="34"/>
      <c r="P74" s="35"/>
      <c r="Q74" s="36"/>
      <c r="R74" s="33"/>
      <c r="S74" s="34"/>
    </row>
    <row r="75" spans="1:19">
      <c r="A75" s="30"/>
      <c r="B75" s="48"/>
      <c r="C75" s="49"/>
      <c r="D75" s="30"/>
      <c r="E75" s="48"/>
      <c r="F75" s="50"/>
      <c r="G75" s="49"/>
      <c r="H75" s="30">
        <v>14</v>
      </c>
      <c r="I75" s="51" t="s">
        <v>148</v>
      </c>
      <c r="J75" s="37" t="s">
        <v>204</v>
      </c>
      <c r="K75" s="31"/>
      <c r="L75" s="32"/>
      <c r="M75" s="33"/>
      <c r="N75" s="33"/>
      <c r="O75" s="34"/>
      <c r="P75" s="35"/>
      <c r="Q75" s="36"/>
      <c r="R75" s="33"/>
      <c r="S75" s="34"/>
    </row>
    <row r="76" spans="1:19">
      <c r="A76" s="30"/>
      <c r="B76" s="48"/>
      <c r="C76" s="49"/>
      <c r="D76" s="30"/>
      <c r="E76" s="48"/>
      <c r="F76" s="50"/>
      <c r="G76" s="49"/>
      <c r="H76" s="30">
        <v>15</v>
      </c>
      <c r="I76" s="51" t="s">
        <v>150</v>
      </c>
      <c r="J76" s="37" t="s">
        <v>205</v>
      </c>
      <c r="K76" s="31"/>
      <c r="L76" s="32"/>
      <c r="M76" s="33"/>
      <c r="N76" s="33"/>
      <c r="O76" s="34"/>
      <c r="P76" s="35"/>
      <c r="Q76" s="36"/>
      <c r="R76" s="33"/>
      <c r="S76" s="34"/>
    </row>
    <row r="77" spans="1:19">
      <c r="A77" s="30"/>
      <c r="B77" s="48"/>
      <c r="C77" s="49"/>
      <c r="D77" s="30"/>
      <c r="E77" s="48"/>
      <c r="F77" s="50"/>
      <c r="G77" s="49"/>
      <c r="H77" s="30">
        <v>16</v>
      </c>
      <c r="I77" s="51" t="s">
        <v>152</v>
      </c>
      <c r="J77" s="37" t="s">
        <v>206</v>
      </c>
      <c r="K77" s="31"/>
      <c r="L77" s="32"/>
      <c r="M77" s="33"/>
      <c r="N77" s="33"/>
      <c r="O77" s="34"/>
      <c r="P77" s="35"/>
      <c r="Q77" s="36"/>
      <c r="R77" s="33"/>
      <c r="S77" s="34"/>
    </row>
    <row r="78" spans="1:19">
      <c r="A78" s="30"/>
      <c r="B78" s="48"/>
      <c r="C78" s="49"/>
      <c r="D78" s="30"/>
      <c r="E78" s="48"/>
      <c r="F78" s="50"/>
      <c r="G78" s="49"/>
      <c r="H78" s="30">
        <v>17</v>
      </c>
      <c r="I78" s="51" t="s">
        <v>154</v>
      </c>
      <c r="J78" s="37" t="s">
        <v>207</v>
      </c>
      <c r="K78" s="31"/>
      <c r="L78" s="32"/>
      <c r="M78" s="33"/>
      <c r="N78" s="33"/>
      <c r="O78" s="34"/>
      <c r="P78" s="35"/>
      <c r="Q78" s="36"/>
      <c r="R78" s="33"/>
      <c r="S78" s="34"/>
    </row>
    <row r="79" spans="1:19">
      <c r="A79" s="30"/>
      <c r="B79" s="48"/>
      <c r="C79" s="49"/>
      <c r="D79" s="30"/>
      <c r="E79" s="48"/>
      <c r="F79" s="50"/>
      <c r="G79" s="49"/>
      <c r="H79" s="30">
        <v>18</v>
      </c>
      <c r="I79" s="51" t="s">
        <v>156</v>
      </c>
      <c r="J79" s="37" t="s">
        <v>208</v>
      </c>
      <c r="K79" s="31"/>
      <c r="L79" s="32"/>
      <c r="M79" s="33"/>
      <c r="N79" s="33"/>
      <c r="O79" s="34"/>
      <c r="P79" s="35"/>
      <c r="Q79" s="36"/>
      <c r="R79" s="33"/>
      <c r="S79" s="34"/>
    </row>
    <row r="80" spans="1:19">
      <c r="A80" s="30"/>
      <c r="B80" s="48"/>
      <c r="C80" s="49"/>
      <c r="D80" s="30"/>
      <c r="E80" s="48"/>
      <c r="F80" s="50"/>
      <c r="G80" s="49"/>
      <c r="H80" s="30">
        <v>19</v>
      </c>
      <c r="I80" s="51" t="s">
        <v>146</v>
      </c>
      <c r="J80" s="37" t="s">
        <v>209</v>
      </c>
      <c r="K80" s="31"/>
      <c r="L80" s="32"/>
      <c r="M80" s="33"/>
      <c r="N80" s="33"/>
      <c r="O80" s="34"/>
      <c r="P80" s="35"/>
      <c r="Q80" s="36"/>
      <c r="R80" s="33"/>
      <c r="S80" s="34"/>
    </row>
    <row r="81" spans="1:19">
      <c r="A81" s="30"/>
      <c r="B81" s="48"/>
      <c r="C81" s="49"/>
      <c r="D81" s="30"/>
      <c r="E81" s="48"/>
      <c r="F81" s="50"/>
      <c r="G81" s="49"/>
      <c r="H81" s="30">
        <v>20</v>
      </c>
      <c r="I81" s="51" t="s">
        <v>159</v>
      </c>
      <c r="J81" s="37" t="s">
        <v>210</v>
      </c>
      <c r="K81" s="31"/>
      <c r="L81" s="32"/>
      <c r="M81" s="33"/>
      <c r="N81" s="33"/>
      <c r="O81" s="34"/>
      <c r="P81" s="35"/>
      <c r="Q81" s="36"/>
      <c r="R81" s="33"/>
      <c r="S81" s="34"/>
    </row>
    <row r="82" spans="1:19">
      <c r="A82" s="30"/>
      <c r="B82" s="48"/>
      <c r="C82" s="49"/>
      <c r="D82" s="30"/>
      <c r="E82" s="48"/>
      <c r="F82" s="50"/>
      <c r="G82" s="49"/>
      <c r="H82" s="30">
        <v>21</v>
      </c>
      <c r="I82" s="51" t="s">
        <v>161</v>
      </c>
      <c r="J82" s="37" t="s">
        <v>211</v>
      </c>
      <c r="K82" s="31"/>
      <c r="L82" s="32"/>
      <c r="M82" s="33"/>
      <c r="N82" s="33"/>
      <c r="O82" s="34"/>
      <c r="P82" s="35"/>
      <c r="Q82" s="36"/>
      <c r="R82" s="33"/>
      <c r="S82" s="34"/>
    </row>
    <row r="83" spans="1:19">
      <c r="A83" s="30"/>
      <c r="B83" s="48"/>
      <c r="C83" s="49"/>
      <c r="D83" s="30"/>
      <c r="E83" s="48"/>
      <c r="F83" s="50"/>
      <c r="G83" s="49"/>
      <c r="H83" s="30">
        <v>22</v>
      </c>
      <c r="I83" s="51" t="s">
        <v>163</v>
      </c>
      <c r="J83" s="37" t="s">
        <v>212</v>
      </c>
      <c r="K83" s="31"/>
      <c r="L83" s="32"/>
      <c r="M83" s="33"/>
      <c r="N83" s="33"/>
      <c r="O83" s="34"/>
      <c r="P83" s="35"/>
      <c r="Q83" s="36"/>
      <c r="R83" s="33"/>
      <c r="S83" s="34"/>
    </row>
    <row r="84" spans="1:19">
      <c r="A84" s="30"/>
      <c r="B84" s="48"/>
      <c r="C84" s="49"/>
      <c r="D84" s="30"/>
      <c r="E84" s="48"/>
      <c r="F84" s="50"/>
      <c r="G84" s="49"/>
      <c r="H84" s="30">
        <v>23</v>
      </c>
      <c r="I84" s="51" t="s">
        <v>156</v>
      </c>
      <c r="J84" s="37" t="s">
        <v>213</v>
      </c>
      <c r="K84" s="31"/>
      <c r="L84" s="32"/>
      <c r="M84" s="33"/>
      <c r="N84" s="33"/>
      <c r="O84" s="34"/>
      <c r="P84" s="35"/>
      <c r="Q84" s="36"/>
      <c r="R84" s="33"/>
      <c r="S84" s="34"/>
    </row>
    <row r="85" spans="1:19">
      <c r="A85" s="30"/>
      <c r="B85" s="48"/>
      <c r="C85" s="49"/>
      <c r="D85" s="30"/>
      <c r="E85" s="48"/>
      <c r="F85" s="50"/>
      <c r="G85" s="49"/>
      <c r="H85" s="30">
        <v>24</v>
      </c>
      <c r="I85" s="51" t="s">
        <v>166</v>
      </c>
      <c r="J85" s="37" t="s">
        <v>214</v>
      </c>
      <c r="K85" s="31"/>
      <c r="L85" s="32"/>
      <c r="M85" s="33"/>
      <c r="N85" s="33"/>
      <c r="O85" s="34"/>
      <c r="P85" s="35"/>
      <c r="Q85" s="36"/>
      <c r="R85" s="33"/>
      <c r="S85" s="34"/>
    </row>
    <row r="86" spans="1:19">
      <c r="A86" s="30"/>
      <c r="B86" s="48"/>
      <c r="C86" s="49"/>
      <c r="D86" s="30"/>
      <c r="E86" s="48"/>
      <c r="F86" s="50"/>
      <c r="G86" s="49"/>
      <c r="H86" s="30">
        <v>25</v>
      </c>
      <c r="I86" s="51" t="s">
        <v>168</v>
      </c>
      <c r="J86" s="37" t="s">
        <v>215</v>
      </c>
      <c r="K86" s="31"/>
      <c r="L86" s="32"/>
      <c r="M86" s="33"/>
      <c r="N86" s="33"/>
      <c r="O86" s="34"/>
      <c r="P86" s="35"/>
      <c r="Q86" s="36"/>
      <c r="R86" s="33"/>
      <c r="S86" s="34"/>
    </row>
    <row r="87" spans="1:19">
      <c r="A87" s="30"/>
      <c r="B87" s="48"/>
      <c r="C87" s="49"/>
      <c r="D87" s="30"/>
      <c r="E87" s="48"/>
      <c r="F87" s="50"/>
      <c r="G87" s="49"/>
      <c r="H87" s="30"/>
      <c r="I87" s="51"/>
      <c r="J87" s="37" t="s">
        <v>216</v>
      </c>
      <c r="K87" s="31"/>
      <c r="L87" s="32"/>
      <c r="M87" s="33"/>
      <c r="N87" s="33"/>
      <c r="O87" s="34"/>
      <c r="P87" s="35"/>
      <c r="Q87" s="36"/>
      <c r="R87" s="33"/>
      <c r="S87" s="34"/>
    </row>
    <row r="88" spans="1:19">
      <c r="A88" s="30"/>
      <c r="B88" s="48"/>
      <c r="C88" s="49"/>
      <c r="D88" s="30"/>
      <c r="E88" s="48"/>
      <c r="F88" s="50"/>
      <c r="G88" s="49"/>
      <c r="H88" s="30">
        <v>26</v>
      </c>
      <c r="I88" s="51" t="s">
        <v>171</v>
      </c>
      <c r="J88" s="37" t="s">
        <v>217</v>
      </c>
      <c r="K88" s="31"/>
      <c r="L88" s="32"/>
      <c r="M88" s="33"/>
      <c r="N88" s="33"/>
      <c r="O88" s="34"/>
      <c r="P88" s="35"/>
      <c r="Q88" s="36"/>
      <c r="R88" s="33"/>
      <c r="S88" s="34"/>
    </row>
    <row r="89" spans="1:19">
      <c r="A89" s="30"/>
      <c r="B89" s="48"/>
      <c r="C89" s="49"/>
      <c r="D89" s="30"/>
      <c r="E89" s="48"/>
      <c r="F89" s="50"/>
      <c r="G89" s="49"/>
      <c r="H89" s="30">
        <v>27</v>
      </c>
      <c r="I89" s="51" t="s">
        <v>173</v>
      </c>
      <c r="J89" s="37" t="s">
        <v>218</v>
      </c>
      <c r="K89" s="31"/>
      <c r="L89" s="32"/>
      <c r="M89" s="33"/>
      <c r="N89" s="33"/>
      <c r="O89" s="34"/>
      <c r="P89" s="35"/>
      <c r="Q89" s="36"/>
      <c r="R89" s="33"/>
      <c r="S89" s="34"/>
    </row>
    <row r="90" spans="1:19">
      <c r="A90" s="30"/>
      <c r="B90" s="48"/>
      <c r="C90" s="49"/>
      <c r="D90" s="30"/>
      <c r="E90" s="48"/>
      <c r="F90" s="50"/>
      <c r="G90" s="49"/>
      <c r="H90" s="30">
        <v>28</v>
      </c>
      <c r="I90" s="51" t="s">
        <v>175</v>
      </c>
      <c r="J90" s="37" t="s">
        <v>219</v>
      </c>
      <c r="K90" s="31"/>
      <c r="L90" s="32"/>
      <c r="M90" s="33"/>
      <c r="N90" s="33"/>
      <c r="O90" s="34"/>
      <c r="P90" s="35"/>
      <c r="Q90" s="36"/>
      <c r="R90" s="33"/>
      <c r="S90" s="34"/>
    </row>
    <row r="91" spans="1:19">
      <c r="A91" s="30"/>
      <c r="B91" s="48"/>
      <c r="C91" s="49"/>
      <c r="D91" s="30"/>
      <c r="E91" s="48"/>
      <c r="F91" s="50"/>
      <c r="G91" s="49"/>
      <c r="H91" s="30">
        <v>29</v>
      </c>
      <c r="I91" s="51" t="s">
        <v>177</v>
      </c>
      <c r="J91" s="37" t="s">
        <v>220</v>
      </c>
      <c r="K91" s="31"/>
      <c r="L91" s="32"/>
      <c r="M91" s="33"/>
      <c r="N91" s="33"/>
      <c r="O91" s="34"/>
      <c r="P91" s="35"/>
      <c r="Q91" s="36"/>
      <c r="R91" s="33"/>
      <c r="S91" s="34"/>
    </row>
    <row r="92" spans="1:19">
      <c r="A92" s="30"/>
      <c r="B92" s="48"/>
      <c r="C92" s="49"/>
      <c r="D92" s="30"/>
      <c r="E92" s="48"/>
      <c r="F92" s="50"/>
      <c r="G92" s="49"/>
      <c r="H92" s="30">
        <v>30</v>
      </c>
      <c r="I92" s="51" t="s">
        <v>179</v>
      </c>
      <c r="J92" s="37" t="s">
        <v>221</v>
      </c>
      <c r="K92" s="31"/>
      <c r="L92" s="32"/>
      <c r="M92" s="33"/>
      <c r="N92" s="33"/>
      <c r="O92" s="34"/>
      <c r="P92" s="35"/>
      <c r="Q92" s="36"/>
      <c r="R92" s="33"/>
      <c r="S92" s="34"/>
    </row>
    <row r="93" spans="1:19">
      <c r="A93" s="30"/>
      <c r="B93" s="48"/>
      <c r="C93" s="49"/>
      <c r="D93" s="30"/>
      <c r="E93" s="48"/>
      <c r="F93" s="50"/>
      <c r="G93" s="49"/>
      <c r="H93" s="30">
        <v>31</v>
      </c>
      <c r="I93" s="51" t="s">
        <v>181</v>
      </c>
      <c r="J93" s="37" t="s">
        <v>222</v>
      </c>
      <c r="K93" s="31"/>
      <c r="L93" s="32"/>
      <c r="M93" s="33"/>
      <c r="N93" s="33"/>
      <c r="O93" s="34"/>
      <c r="P93" s="35"/>
      <c r="Q93" s="36"/>
      <c r="R93" s="33"/>
      <c r="S93" s="34"/>
    </row>
    <row r="94" spans="1:19">
      <c r="A94" s="30"/>
      <c r="B94" s="48"/>
      <c r="C94" s="49"/>
      <c r="D94" s="30"/>
      <c r="E94" s="48"/>
      <c r="F94" s="50"/>
      <c r="G94" s="49"/>
      <c r="H94" s="30">
        <v>32</v>
      </c>
      <c r="I94" s="51" t="s">
        <v>183</v>
      </c>
      <c r="J94" s="37" t="s">
        <v>223</v>
      </c>
      <c r="K94" s="31"/>
      <c r="L94" s="32"/>
      <c r="M94" s="33"/>
      <c r="N94" s="33"/>
      <c r="O94" s="34"/>
      <c r="P94" s="35"/>
      <c r="Q94" s="36"/>
      <c r="R94" s="33"/>
      <c r="S94" s="34"/>
    </row>
    <row r="95" spans="1:19">
      <c r="A95" s="30"/>
      <c r="B95" s="48"/>
      <c r="C95" s="49"/>
      <c r="D95" s="30"/>
      <c r="E95" s="48"/>
      <c r="F95" s="50"/>
      <c r="G95" s="49"/>
      <c r="H95" s="30">
        <v>33</v>
      </c>
      <c r="I95" s="51" t="s">
        <v>185</v>
      </c>
      <c r="J95" s="37" t="s">
        <v>224</v>
      </c>
      <c r="K95" s="31"/>
      <c r="L95" s="32"/>
      <c r="M95" s="33"/>
      <c r="N95" s="33"/>
      <c r="O95" s="34"/>
      <c r="P95" s="35"/>
      <c r="Q95" s="36"/>
      <c r="R95" s="33"/>
      <c r="S95" s="34"/>
    </row>
    <row r="96" spans="1:19">
      <c r="A96" s="30"/>
      <c r="B96" s="48"/>
      <c r="C96" s="49"/>
      <c r="D96" s="30"/>
      <c r="E96" s="48"/>
      <c r="F96" s="50"/>
      <c r="G96" s="49"/>
      <c r="H96" s="30">
        <v>34</v>
      </c>
      <c r="I96" s="51" t="s">
        <v>187</v>
      </c>
      <c r="J96" s="37" t="s">
        <v>225</v>
      </c>
      <c r="K96" s="31"/>
      <c r="L96" s="32"/>
      <c r="M96" s="33"/>
      <c r="N96" s="33"/>
      <c r="O96" s="34"/>
      <c r="P96" s="35"/>
      <c r="Q96" s="36"/>
      <c r="R96" s="33"/>
      <c r="S96" s="34"/>
    </row>
    <row r="97" spans="1:19">
      <c r="A97" s="30"/>
      <c r="B97" s="48"/>
      <c r="C97" s="49"/>
      <c r="D97" s="30"/>
      <c r="E97" s="48"/>
      <c r="F97" s="50"/>
      <c r="G97" s="49"/>
      <c r="H97" s="30">
        <v>35</v>
      </c>
      <c r="I97" s="51" t="s">
        <v>189</v>
      </c>
      <c r="J97" s="37" t="s">
        <v>226</v>
      </c>
      <c r="K97" s="31"/>
      <c r="L97" s="32"/>
      <c r="M97" s="33"/>
      <c r="N97" s="33"/>
      <c r="O97" s="34"/>
      <c r="P97" s="35"/>
      <c r="Q97" s="36"/>
      <c r="R97" s="33"/>
      <c r="S97" s="34"/>
    </row>
    <row r="98" spans="1:19">
      <c r="A98" s="30"/>
      <c r="B98" s="48"/>
      <c r="C98" s="49"/>
      <c r="D98" s="30"/>
      <c r="E98" s="48"/>
      <c r="F98" s="50"/>
      <c r="G98" s="49"/>
      <c r="H98" s="30">
        <v>36</v>
      </c>
      <c r="I98" s="51" t="s">
        <v>191</v>
      </c>
      <c r="J98" s="37" t="s">
        <v>227</v>
      </c>
      <c r="K98" s="31"/>
      <c r="L98" s="32"/>
      <c r="M98" s="33"/>
      <c r="N98" s="33"/>
      <c r="O98" s="34"/>
      <c r="P98" s="35"/>
      <c r="Q98" s="36"/>
      <c r="R98" s="33"/>
      <c r="S98" s="34"/>
    </row>
    <row r="99" spans="1:19">
      <c r="A99" s="30"/>
      <c r="B99" s="48"/>
      <c r="C99" s="49"/>
      <c r="D99" s="30"/>
      <c r="E99" s="48"/>
      <c r="F99" s="50"/>
      <c r="G99" s="49"/>
      <c r="H99" s="30">
        <v>37</v>
      </c>
      <c r="I99" s="51" t="s">
        <v>193</v>
      </c>
      <c r="J99" s="37" t="s">
        <v>228</v>
      </c>
      <c r="K99" s="31"/>
      <c r="L99" s="32"/>
      <c r="M99" s="33"/>
      <c r="N99" s="33"/>
      <c r="O99" s="34"/>
      <c r="P99" s="35"/>
      <c r="Q99" s="36"/>
      <c r="R99" s="33"/>
      <c r="S99" s="34"/>
    </row>
    <row r="100" spans="1:19">
      <c r="A100" s="30"/>
      <c r="B100" s="48"/>
      <c r="C100" s="49"/>
      <c r="D100" s="30"/>
      <c r="E100" s="48"/>
      <c r="F100" s="50"/>
      <c r="G100" s="49"/>
      <c r="H100" s="30">
        <v>38</v>
      </c>
      <c r="I100" s="51" t="s">
        <v>194</v>
      </c>
      <c r="J100" s="37" t="s">
        <v>229</v>
      </c>
      <c r="K100" s="31"/>
      <c r="L100" s="32"/>
      <c r="M100" s="33"/>
      <c r="N100" s="33"/>
      <c r="O100" s="34"/>
      <c r="P100" s="35"/>
      <c r="Q100" s="36"/>
      <c r="R100" s="33"/>
      <c r="S100" s="34"/>
    </row>
    <row r="101" spans="1:19">
      <c r="A101" s="30"/>
      <c r="B101" s="48"/>
      <c r="C101" s="49"/>
      <c r="D101" s="30"/>
      <c r="E101" s="48"/>
      <c r="F101" s="50"/>
      <c r="G101" s="49"/>
      <c r="H101" s="30">
        <v>39</v>
      </c>
      <c r="I101" s="51" t="s">
        <v>56</v>
      </c>
      <c r="J101" s="37" t="s">
        <v>230</v>
      </c>
      <c r="K101" s="31"/>
      <c r="L101" s="32"/>
      <c r="M101" s="33"/>
      <c r="N101" s="33"/>
      <c r="O101" s="34"/>
      <c r="P101" s="35"/>
      <c r="Q101" s="36"/>
      <c r="R101" s="33"/>
      <c r="S101" s="34"/>
    </row>
    <row r="102" spans="1:19">
      <c r="A102" s="30"/>
      <c r="B102" s="48"/>
      <c r="C102" s="49"/>
      <c r="D102" s="30"/>
      <c r="E102" s="48"/>
      <c r="F102" s="50"/>
      <c r="G102" s="49"/>
      <c r="H102" s="30">
        <v>40</v>
      </c>
      <c r="I102" s="51" t="s">
        <v>58</v>
      </c>
      <c r="J102" s="37" t="s">
        <v>231</v>
      </c>
      <c r="K102" s="31"/>
      <c r="L102" s="32"/>
      <c r="M102" s="33"/>
      <c r="N102" s="33"/>
      <c r="O102" s="34"/>
      <c r="P102" s="35"/>
      <c r="Q102" s="36"/>
      <c r="R102" s="33"/>
      <c r="S102" s="34"/>
    </row>
    <row r="103" spans="1:19">
      <c r="A103" s="30"/>
      <c r="B103" s="48"/>
      <c r="C103" s="49"/>
      <c r="D103" s="30"/>
      <c r="E103" s="48"/>
      <c r="F103" s="50"/>
      <c r="G103" s="49"/>
      <c r="H103" s="30">
        <v>41</v>
      </c>
      <c r="I103" s="51" t="s">
        <v>60</v>
      </c>
      <c r="J103" s="37" t="s">
        <v>232</v>
      </c>
      <c r="K103" s="31"/>
      <c r="L103" s="32"/>
      <c r="M103" s="33"/>
      <c r="N103" s="33"/>
      <c r="O103" s="34"/>
      <c r="P103" s="35"/>
      <c r="Q103" s="36"/>
      <c r="R103" s="33"/>
      <c r="S103" s="34"/>
    </row>
    <row r="104" spans="1:19">
      <c r="A104" s="30"/>
      <c r="B104" s="48"/>
      <c r="C104" s="49"/>
      <c r="D104" s="30"/>
      <c r="E104" s="48"/>
      <c r="F104" s="50"/>
      <c r="G104" s="49"/>
      <c r="H104" s="30">
        <v>42</v>
      </c>
      <c r="I104" s="51" t="s">
        <v>62</v>
      </c>
      <c r="J104" s="37" t="s">
        <v>233</v>
      </c>
      <c r="K104" s="31"/>
      <c r="L104" s="32"/>
      <c r="M104" s="33"/>
      <c r="N104" s="33"/>
      <c r="O104" s="34"/>
      <c r="P104" s="35"/>
      <c r="Q104" s="36"/>
      <c r="R104" s="33"/>
      <c r="S104" s="34"/>
    </row>
    <row r="105" spans="1:19">
      <c r="A105" s="30"/>
      <c r="B105" s="48"/>
      <c r="C105" s="49"/>
      <c r="D105" s="30"/>
      <c r="E105" s="48"/>
      <c r="F105" s="50"/>
      <c r="G105" s="49"/>
      <c r="H105" s="30">
        <v>43</v>
      </c>
      <c r="I105" s="51" t="s">
        <v>64</v>
      </c>
      <c r="J105" s="37" t="s">
        <v>234</v>
      </c>
      <c r="K105" s="31"/>
      <c r="L105" s="32"/>
      <c r="M105" s="33"/>
      <c r="N105" s="33"/>
      <c r="O105" s="34"/>
      <c r="P105" s="35"/>
      <c r="Q105" s="36"/>
      <c r="R105" s="33"/>
      <c r="S105" s="34"/>
    </row>
    <row r="106" spans="1:19">
      <c r="A106" s="30"/>
      <c r="B106" s="48"/>
      <c r="C106" s="49"/>
      <c r="D106" s="30"/>
      <c r="E106" s="48"/>
      <c r="F106" s="50"/>
      <c r="G106" s="49"/>
      <c r="H106" s="30">
        <v>44</v>
      </c>
      <c r="I106" s="51" t="s">
        <v>66</v>
      </c>
      <c r="J106" s="37" t="s">
        <v>235</v>
      </c>
      <c r="K106" s="31"/>
      <c r="L106" s="32"/>
      <c r="M106" s="33"/>
      <c r="N106" s="33"/>
      <c r="O106" s="34"/>
      <c r="P106" s="35"/>
      <c r="Q106" s="36"/>
      <c r="R106" s="33"/>
      <c r="S106" s="34"/>
    </row>
    <row r="107" spans="1:19">
      <c r="A107" s="30"/>
      <c r="B107" s="48"/>
      <c r="C107" s="49"/>
      <c r="D107" s="30"/>
      <c r="E107" s="48"/>
      <c r="F107" s="50"/>
      <c r="G107" s="49"/>
      <c r="H107" s="30">
        <v>45</v>
      </c>
      <c r="I107" s="51" t="s">
        <v>68</v>
      </c>
      <c r="J107" s="37" t="s">
        <v>236</v>
      </c>
      <c r="K107" s="31"/>
      <c r="L107" s="32"/>
      <c r="M107" s="33"/>
      <c r="N107" s="33"/>
      <c r="O107" s="34"/>
      <c r="P107" s="35"/>
      <c r="Q107" s="36"/>
      <c r="R107" s="33"/>
      <c r="S107" s="34"/>
    </row>
    <row r="108" spans="1:19" ht="53.25" customHeight="1">
      <c r="A108" s="30">
        <v>4</v>
      </c>
      <c r="B108" s="75" t="s">
        <v>237</v>
      </c>
      <c r="C108" s="77"/>
      <c r="D108" s="30">
        <v>1</v>
      </c>
      <c r="E108" s="75" t="s">
        <v>238</v>
      </c>
      <c r="F108" s="76"/>
      <c r="G108" s="77"/>
      <c r="H108" s="30">
        <v>1</v>
      </c>
      <c r="I108" s="51" t="s">
        <v>239</v>
      </c>
      <c r="J108" s="37" t="s">
        <v>240</v>
      </c>
      <c r="K108" s="31"/>
      <c r="L108" s="32"/>
      <c r="M108" s="33"/>
      <c r="N108" s="33"/>
      <c r="O108" s="34"/>
      <c r="P108" s="35"/>
      <c r="Q108" s="36"/>
      <c r="R108" s="33"/>
      <c r="S108" s="34"/>
    </row>
    <row r="109" spans="1:19" ht="126">
      <c r="A109" s="30">
        <v>5</v>
      </c>
      <c r="B109" s="57" t="s">
        <v>241</v>
      </c>
      <c r="C109" s="58"/>
      <c r="D109" s="30">
        <v>1</v>
      </c>
      <c r="E109" s="57" t="s">
        <v>30</v>
      </c>
      <c r="F109" s="59"/>
      <c r="G109" s="58"/>
      <c r="H109" s="30">
        <v>1</v>
      </c>
      <c r="I109" s="47" t="s">
        <v>31</v>
      </c>
      <c r="J109" s="37" t="s">
        <v>32</v>
      </c>
      <c r="K109" s="31"/>
      <c r="L109" s="32"/>
      <c r="M109" s="33"/>
      <c r="N109" s="33"/>
      <c r="O109" s="34"/>
      <c r="P109" s="35"/>
      <c r="Q109" s="36"/>
      <c r="R109" s="33"/>
      <c r="S109" s="34"/>
    </row>
    <row r="110" spans="1:19" ht="126">
      <c r="A110" s="30"/>
      <c r="B110" s="57"/>
      <c r="C110" s="58"/>
      <c r="D110" s="30"/>
      <c r="E110" s="57"/>
      <c r="F110" s="59"/>
      <c r="G110" s="58"/>
      <c r="H110" s="30">
        <v>2</v>
      </c>
      <c r="I110" s="51" t="s">
        <v>33</v>
      </c>
      <c r="J110" s="37" t="s">
        <v>32</v>
      </c>
      <c r="K110" s="31"/>
      <c r="L110" s="32"/>
      <c r="M110" s="33"/>
      <c r="N110" s="33"/>
      <c r="O110" s="34"/>
      <c r="P110" s="35"/>
      <c r="Q110" s="36"/>
      <c r="R110" s="33"/>
      <c r="S110" s="34"/>
    </row>
    <row r="111" spans="1:19">
      <c r="A111" s="30"/>
      <c r="B111" s="48"/>
      <c r="C111" s="49"/>
      <c r="D111" s="30"/>
      <c r="E111" s="75"/>
      <c r="F111" s="76"/>
      <c r="G111" s="77"/>
      <c r="H111" s="30">
        <v>3</v>
      </c>
      <c r="I111" s="51" t="s">
        <v>34</v>
      </c>
      <c r="J111" s="37" t="s">
        <v>35</v>
      </c>
      <c r="K111" s="31"/>
      <c r="L111" s="32"/>
      <c r="M111" s="33"/>
      <c r="N111" s="33"/>
      <c r="O111" s="34"/>
      <c r="P111" s="35"/>
      <c r="Q111" s="36"/>
      <c r="R111" s="33"/>
      <c r="S111" s="34"/>
    </row>
    <row r="112" spans="1:19">
      <c r="A112" s="30"/>
      <c r="B112" s="48"/>
      <c r="C112" s="49"/>
      <c r="D112" s="30"/>
      <c r="E112" s="48"/>
      <c r="F112" s="50"/>
      <c r="G112" s="49"/>
      <c r="H112" s="30">
        <v>4</v>
      </c>
      <c r="I112" s="51" t="s">
        <v>36</v>
      </c>
      <c r="J112" s="37" t="s">
        <v>35</v>
      </c>
      <c r="K112" s="31"/>
      <c r="L112" s="32"/>
      <c r="M112" s="33"/>
      <c r="N112" s="33"/>
      <c r="O112" s="34"/>
      <c r="P112" s="35"/>
      <c r="Q112" s="36"/>
      <c r="R112" s="33"/>
      <c r="S112" s="34"/>
    </row>
    <row r="113" spans="1:19">
      <c r="A113" s="30"/>
      <c r="B113" s="48"/>
      <c r="C113" s="49"/>
      <c r="D113" s="30"/>
      <c r="E113" s="48"/>
      <c r="F113" s="50"/>
      <c r="G113" s="49"/>
      <c r="H113" s="30">
        <v>5</v>
      </c>
      <c r="I113" s="51" t="s">
        <v>128</v>
      </c>
      <c r="J113" s="37" t="s">
        <v>38</v>
      </c>
      <c r="K113" s="31"/>
      <c r="L113" s="32"/>
      <c r="M113" s="33"/>
      <c r="N113" s="33"/>
      <c r="O113" s="34"/>
      <c r="P113" s="35"/>
      <c r="Q113" s="36"/>
      <c r="R113" s="33"/>
      <c r="S113" s="34"/>
    </row>
    <row r="114" spans="1:19">
      <c r="A114" s="30"/>
      <c r="B114" s="48"/>
      <c r="C114" s="49"/>
      <c r="D114" s="30"/>
      <c r="E114" s="48"/>
      <c r="F114" s="50"/>
      <c r="G114" s="49"/>
      <c r="H114" s="30">
        <v>6</v>
      </c>
      <c r="I114" s="51" t="s">
        <v>129</v>
      </c>
      <c r="J114" s="37" t="s">
        <v>40</v>
      </c>
      <c r="K114" s="31"/>
      <c r="L114" s="32"/>
      <c r="M114" s="33"/>
      <c r="N114" s="33"/>
      <c r="O114" s="34"/>
      <c r="P114" s="35"/>
      <c r="Q114" s="36"/>
      <c r="R114" s="33"/>
      <c r="S114" s="34"/>
    </row>
    <row r="115" spans="1:19">
      <c r="A115" s="30"/>
      <c r="B115" s="48"/>
      <c r="C115" s="49"/>
      <c r="D115" s="30"/>
      <c r="E115" s="48"/>
      <c r="F115" s="50"/>
      <c r="G115" s="49"/>
      <c r="H115" s="30">
        <v>7</v>
      </c>
      <c r="I115" s="51" t="s">
        <v>130</v>
      </c>
      <c r="J115" s="37" t="s">
        <v>40</v>
      </c>
      <c r="K115" s="31"/>
      <c r="L115" s="32"/>
      <c r="M115" s="33"/>
      <c r="N115" s="33"/>
      <c r="O115" s="34"/>
      <c r="P115" s="35"/>
      <c r="Q115" s="36"/>
      <c r="R115" s="33"/>
      <c r="S115" s="34"/>
    </row>
    <row r="116" spans="1:19" ht="31.5">
      <c r="A116" s="30"/>
      <c r="B116" s="48"/>
      <c r="C116" s="49"/>
      <c r="D116" s="30"/>
      <c r="E116" s="48"/>
      <c r="F116" s="50"/>
      <c r="G116" s="49"/>
      <c r="H116" s="30">
        <v>8</v>
      </c>
      <c r="I116" s="52" t="s">
        <v>131</v>
      </c>
      <c r="J116" s="37" t="s">
        <v>40</v>
      </c>
      <c r="K116" s="31"/>
      <c r="L116" s="32"/>
      <c r="M116" s="33"/>
      <c r="N116" s="33"/>
      <c r="O116" s="34"/>
      <c r="P116" s="35"/>
      <c r="Q116" s="36"/>
      <c r="R116" s="33"/>
      <c r="S116" s="34"/>
    </row>
    <row r="117" spans="1:19" ht="99.75" customHeight="1">
      <c r="A117" s="30"/>
      <c r="B117" s="48"/>
      <c r="C117" s="49"/>
      <c r="D117" s="30">
        <v>2</v>
      </c>
      <c r="E117" s="57" t="s">
        <v>43</v>
      </c>
      <c r="F117" s="59"/>
      <c r="G117" s="58"/>
      <c r="H117" s="30">
        <v>1</v>
      </c>
      <c r="I117" s="51" t="s">
        <v>132</v>
      </c>
      <c r="J117" s="37" t="s">
        <v>242</v>
      </c>
      <c r="K117" s="31"/>
      <c r="L117" s="32"/>
      <c r="M117" s="33"/>
      <c r="N117" s="33"/>
      <c r="O117" s="34"/>
      <c r="P117" s="35"/>
      <c r="Q117" s="36"/>
      <c r="R117" s="33"/>
      <c r="S117" s="34"/>
    </row>
    <row r="118" spans="1:19">
      <c r="A118" s="30"/>
      <c r="B118" s="48"/>
      <c r="C118" s="49"/>
      <c r="D118" s="30"/>
      <c r="E118" s="48"/>
      <c r="F118" s="50"/>
      <c r="G118" s="49"/>
      <c r="H118" s="30">
        <v>2</v>
      </c>
      <c r="I118" s="51" t="s">
        <v>46</v>
      </c>
      <c r="J118" s="37" t="s">
        <v>243</v>
      </c>
      <c r="K118" s="31"/>
      <c r="L118" s="32"/>
      <c r="M118" s="33"/>
      <c r="N118" s="33"/>
      <c r="O118" s="34"/>
      <c r="P118" s="35"/>
      <c r="Q118" s="36"/>
      <c r="R118" s="33"/>
      <c r="S118" s="34"/>
    </row>
    <row r="119" spans="1:19">
      <c r="A119" s="30"/>
      <c r="B119" s="48"/>
      <c r="C119" s="49"/>
      <c r="D119" s="30"/>
      <c r="E119" s="48"/>
      <c r="F119" s="50"/>
      <c r="G119" s="49"/>
      <c r="H119" s="30">
        <v>3</v>
      </c>
      <c r="I119" s="51" t="s">
        <v>48</v>
      </c>
      <c r="J119" s="37" t="s">
        <v>244</v>
      </c>
      <c r="K119" s="31"/>
      <c r="L119" s="32"/>
      <c r="M119" s="33"/>
      <c r="N119" s="33"/>
      <c r="O119" s="34"/>
      <c r="P119" s="35"/>
      <c r="Q119" s="36"/>
      <c r="R119" s="33"/>
      <c r="S119" s="34"/>
    </row>
    <row r="120" spans="1:19">
      <c r="A120" s="30"/>
      <c r="B120" s="48"/>
      <c r="C120" s="49"/>
      <c r="D120" s="30"/>
      <c r="E120" s="48"/>
      <c r="F120" s="50"/>
      <c r="G120" s="49"/>
      <c r="H120" s="30">
        <v>4</v>
      </c>
      <c r="I120" s="51" t="s">
        <v>50</v>
      </c>
      <c r="J120" s="37" t="s">
        <v>245</v>
      </c>
      <c r="K120" s="31"/>
      <c r="L120" s="32"/>
      <c r="M120" s="33"/>
      <c r="N120" s="33"/>
      <c r="O120" s="34"/>
      <c r="P120" s="35"/>
      <c r="Q120" s="36"/>
      <c r="R120" s="33"/>
      <c r="S120" s="34"/>
    </row>
    <row r="121" spans="1:19">
      <c r="A121" s="30"/>
      <c r="B121" s="48"/>
      <c r="C121" s="49"/>
      <c r="D121" s="30"/>
      <c r="E121" s="48"/>
      <c r="F121" s="50"/>
      <c r="G121" s="49"/>
      <c r="H121" s="30">
        <v>5</v>
      </c>
      <c r="I121" s="51" t="s">
        <v>134</v>
      </c>
      <c r="J121" s="37" t="s">
        <v>246</v>
      </c>
      <c r="K121" s="31"/>
      <c r="L121" s="32"/>
      <c r="M121" s="33"/>
      <c r="N121" s="33"/>
      <c r="O121" s="34"/>
      <c r="P121" s="35"/>
      <c r="Q121" s="36"/>
      <c r="R121" s="33"/>
      <c r="S121" s="34"/>
    </row>
    <row r="122" spans="1:19">
      <c r="A122" s="30"/>
      <c r="B122" s="48"/>
      <c r="C122" s="49"/>
      <c r="D122" s="30"/>
      <c r="E122" s="48"/>
      <c r="F122" s="50"/>
      <c r="G122" s="49"/>
      <c r="H122" s="30">
        <v>6</v>
      </c>
      <c r="I122" s="51" t="s">
        <v>136</v>
      </c>
      <c r="J122" s="37" t="s">
        <v>247</v>
      </c>
      <c r="K122" s="31"/>
      <c r="L122" s="32"/>
      <c r="M122" s="33"/>
      <c r="N122" s="33"/>
      <c r="O122" s="34"/>
      <c r="P122" s="35"/>
      <c r="Q122" s="36"/>
      <c r="R122" s="33"/>
      <c r="S122" s="34"/>
    </row>
    <row r="123" spans="1:19">
      <c r="A123" s="30"/>
      <c r="B123" s="48"/>
      <c r="C123" s="49"/>
      <c r="D123" s="30"/>
      <c r="E123" s="48"/>
      <c r="F123" s="50"/>
      <c r="G123" s="49"/>
      <c r="H123" s="30">
        <v>7</v>
      </c>
      <c r="I123" s="51" t="s">
        <v>52</v>
      </c>
      <c r="J123" s="37" t="s">
        <v>248</v>
      </c>
      <c r="K123" s="31"/>
      <c r="L123" s="32"/>
      <c r="M123" s="33"/>
      <c r="N123" s="33"/>
      <c r="O123" s="34"/>
      <c r="P123" s="35"/>
      <c r="Q123" s="36"/>
      <c r="R123" s="33"/>
      <c r="S123" s="34"/>
    </row>
    <row r="124" spans="1:19">
      <c r="A124" s="30"/>
      <c r="B124" s="48"/>
      <c r="C124" s="49"/>
      <c r="D124" s="30"/>
      <c r="E124" s="48"/>
      <c r="F124" s="50"/>
      <c r="G124" s="49"/>
      <c r="H124" s="30">
        <v>8</v>
      </c>
      <c r="I124" s="51" t="s">
        <v>54</v>
      </c>
      <c r="J124" s="37" t="s">
        <v>249</v>
      </c>
      <c r="K124" s="31"/>
      <c r="L124" s="32"/>
      <c r="M124" s="33"/>
      <c r="N124" s="33"/>
      <c r="O124" s="34"/>
      <c r="P124" s="35"/>
      <c r="Q124" s="36"/>
      <c r="R124" s="33"/>
      <c r="S124" s="34"/>
    </row>
    <row r="125" spans="1:19">
      <c r="A125" s="30"/>
      <c r="B125" s="48"/>
      <c r="C125" s="49"/>
      <c r="D125" s="30"/>
      <c r="E125" s="48"/>
      <c r="F125" s="50"/>
      <c r="G125" s="49"/>
      <c r="H125" s="30">
        <v>9</v>
      </c>
      <c r="I125" s="51" t="s">
        <v>138</v>
      </c>
      <c r="J125" s="37" t="s">
        <v>250</v>
      </c>
      <c r="K125" s="31"/>
      <c r="L125" s="32"/>
      <c r="M125" s="33"/>
      <c r="N125" s="33"/>
      <c r="O125" s="34"/>
      <c r="P125" s="35"/>
      <c r="Q125" s="36"/>
      <c r="R125" s="33"/>
      <c r="S125" s="34"/>
    </row>
    <row r="126" spans="1:19">
      <c r="A126" s="30"/>
      <c r="B126" s="48"/>
      <c r="C126" s="49"/>
      <c r="D126" s="30"/>
      <c r="E126" s="48"/>
      <c r="F126" s="50"/>
      <c r="G126" s="49"/>
      <c r="H126" s="30">
        <v>10</v>
      </c>
      <c r="I126" s="51" t="s">
        <v>140</v>
      </c>
      <c r="J126" s="37" t="s">
        <v>251</v>
      </c>
      <c r="K126" s="31"/>
      <c r="L126" s="32"/>
      <c r="M126" s="33"/>
      <c r="N126" s="33"/>
      <c r="O126" s="34"/>
      <c r="P126" s="35"/>
      <c r="Q126" s="36"/>
      <c r="R126" s="33"/>
      <c r="S126" s="34"/>
    </row>
    <row r="127" spans="1:19" ht="110.25">
      <c r="A127" s="30"/>
      <c r="B127" s="48"/>
      <c r="C127" s="49"/>
      <c r="D127" s="30"/>
      <c r="E127" s="48"/>
      <c r="F127" s="50"/>
      <c r="G127" s="49"/>
      <c r="H127" s="30">
        <v>11</v>
      </c>
      <c r="I127" s="51" t="s">
        <v>142</v>
      </c>
      <c r="J127" s="37" t="s">
        <v>252</v>
      </c>
      <c r="K127" s="31"/>
      <c r="L127" s="32"/>
      <c r="M127" s="33"/>
      <c r="N127" s="33"/>
      <c r="O127" s="34"/>
      <c r="P127" s="35"/>
      <c r="Q127" s="36"/>
      <c r="R127" s="33"/>
      <c r="S127" s="34"/>
    </row>
    <row r="128" spans="1:19">
      <c r="A128" s="30"/>
      <c r="B128" s="48"/>
      <c r="C128" s="49"/>
      <c r="D128" s="30"/>
      <c r="E128" s="48"/>
      <c r="F128" s="50"/>
      <c r="G128" s="49"/>
      <c r="H128" s="30">
        <v>12</v>
      </c>
      <c r="I128" s="51" t="s">
        <v>144</v>
      </c>
      <c r="J128" s="37" t="s">
        <v>253</v>
      </c>
      <c r="K128" s="31"/>
      <c r="L128" s="32"/>
      <c r="M128" s="33"/>
      <c r="N128" s="33"/>
      <c r="O128" s="34"/>
      <c r="P128" s="35"/>
      <c r="Q128" s="36"/>
      <c r="R128" s="33"/>
      <c r="S128" s="34"/>
    </row>
    <row r="129" spans="1:19">
      <c r="A129" s="30"/>
      <c r="B129" s="48"/>
      <c r="C129" s="49"/>
      <c r="D129" s="30"/>
      <c r="E129" s="48"/>
      <c r="F129" s="50"/>
      <c r="G129" s="49"/>
      <c r="H129" s="30">
        <v>13</v>
      </c>
      <c r="I129" s="51" t="s">
        <v>146</v>
      </c>
      <c r="J129" s="37" t="s">
        <v>254</v>
      </c>
      <c r="K129" s="31"/>
      <c r="L129" s="32"/>
      <c r="M129" s="33"/>
      <c r="N129" s="33"/>
      <c r="O129" s="34"/>
      <c r="P129" s="35"/>
      <c r="Q129" s="36"/>
      <c r="R129" s="33"/>
      <c r="S129" s="34"/>
    </row>
    <row r="130" spans="1:19">
      <c r="A130" s="30"/>
      <c r="B130" s="48"/>
      <c r="C130" s="49"/>
      <c r="D130" s="30"/>
      <c r="E130" s="48"/>
      <c r="F130" s="50"/>
      <c r="G130" s="49"/>
      <c r="H130" s="30">
        <v>14</v>
      </c>
      <c r="I130" s="51" t="s">
        <v>148</v>
      </c>
      <c r="J130" s="37" t="s">
        <v>255</v>
      </c>
      <c r="K130" s="31"/>
      <c r="L130" s="32"/>
      <c r="M130" s="33"/>
      <c r="N130" s="33"/>
      <c r="O130" s="34"/>
      <c r="P130" s="35"/>
      <c r="Q130" s="36"/>
      <c r="R130" s="33"/>
      <c r="S130" s="34"/>
    </row>
    <row r="131" spans="1:19">
      <c r="A131" s="30"/>
      <c r="B131" s="48"/>
      <c r="C131" s="49"/>
      <c r="D131" s="30"/>
      <c r="E131" s="48"/>
      <c r="F131" s="50"/>
      <c r="G131" s="49"/>
      <c r="H131" s="30">
        <v>15</v>
      </c>
      <c r="I131" s="51" t="s">
        <v>150</v>
      </c>
      <c r="J131" s="37" t="s">
        <v>256</v>
      </c>
      <c r="K131" s="31"/>
      <c r="L131" s="32"/>
      <c r="M131" s="33"/>
      <c r="N131" s="33"/>
      <c r="O131" s="34"/>
      <c r="P131" s="35"/>
      <c r="Q131" s="36"/>
      <c r="R131" s="33"/>
      <c r="S131" s="34"/>
    </row>
    <row r="132" spans="1:19">
      <c r="A132" s="30"/>
      <c r="B132" s="48"/>
      <c r="C132" s="49"/>
      <c r="D132" s="30"/>
      <c r="E132" s="48"/>
      <c r="F132" s="50"/>
      <c r="G132" s="49"/>
      <c r="H132" s="30">
        <v>16</v>
      </c>
      <c r="I132" s="51" t="s">
        <v>152</v>
      </c>
      <c r="J132" s="37" t="s">
        <v>257</v>
      </c>
      <c r="K132" s="31"/>
      <c r="L132" s="32"/>
      <c r="M132" s="33"/>
      <c r="N132" s="33"/>
      <c r="O132" s="34"/>
      <c r="P132" s="35"/>
      <c r="Q132" s="36"/>
      <c r="R132" s="33"/>
      <c r="S132" s="34"/>
    </row>
    <row r="133" spans="1:19">
      <c r="A133" s="30"/>
      <c r="B133" s="48"/>
      <c r="C133" s="49"/>
      <c r="D133" s="30"/>
      <c r="E133" s="48"/>
      <c r="F133" s="50"/>
      <c r="G133" s="49"/>
      <c r="H133" s="30">
        <v>17</v>
      </c>
      <c r="I133" s="51" t="s">
        <v>154</v>
      </c>
      <c r="J133" s="37" t="s">
        <v>258</v>
      </c>
      <c r="K133" s="31"/>
      <c r="L133" s="32"/>
      <c r="M133" s="33"/>
      <c r="N133" s="33"/>
      <c r="O133" s="34"/>
      <c r="P133" s="35"/>
      <c r="Q133" s="36"/>
      <c r="R133" s="33"/>
      <c r="S133" s="34"/>
    </row>
    <row r="134" spans="1:19">
      <c r="A134" s="30"/>
      <c r="B134" s="48"/>
      <c r="C134" s="49"/>
      <c r="D134" s="30"/>
      <c r="E134" s="48"/>
      <c r="F134" s="50"/>
      <c r="G134" s="49"/>
      <c r="H134" s="30">
        <v>18</v>
      </c>
      <c r="I134" s="51" t="s">
        <v>156</v>
      </c>
      <c r="J134" s="37" t="s">
        <v>259</v>
      </c>
      <c r="K134" s="31"/>
      <c r="L134" s="32"/>
      <c r="M134" s="33"/>
      <c r="N134" s="33"/>
      <c r="O134" s="34"/>
      <c r="P134" s="35"/>
      <c r="Q134" s="36"/>
      <c r="R134" s="33"/>
      <c r="S134" s="34"/>
    </row>
    <row r="135" spans="1:19">
      <c r="A135" s="30"/>
      <c r="B135" s="48"/>
      <c r="C135" s="49"/>
      <c r="D135" s="30"/>
      <c r="E135" s="48"/>
      <c r="F135" s="50"/>
      <c r="G135" s="49"/>
      <c r="H135" s="30">
        <v>19</v>
      </c>
      <c r="I135" s="51" t="s">
        <v>146</v>
      </c>
      <c r="J135" s="37" t="s">
        <v>260</v>
      </c>
      <c r="K135" s="31"/>
      <c r="L135" s="32"/>
      <c r="M135" s="33"/>
      <c r="N135" s="33"/>
      <c r="O135" s="34"/>
      <c r="P135" s="35"/>
      <c r="Q135" s="36"/>
      <c r="R135" s="33"/>
      <c r="S135" s="34"/>
    </row>
    <row r="136" spans="1:19">
      <c r="A136" s="30"/>
      <c r="B136" s="48"/>
      <c r="C136" s="49"/>
      <c r="D136" s="30"/>
      <c r="E136" s="48"/>
      <c r="F136" s="50"/>
      <c r="G136" s="49"/>
      <c r="H136" s="30">
        <v>20</v>
      </c>
      <c r="I136" s="51" t="s">
        <v>159</v>
      </c>
      <c r="J136" s="37" t="s">
        <v>261</v>
      </c>
      <c r="K136" s="31"/>
      <c r="L136" s="32"/>
      <c r="M136" s="33"/>
      <c r="N136" s="33"/>
      <c r="O136" s="34"/>
      <c r="P136" s="35"/>
      <c r="Q136" s="36"/>
      <c r="R136" s="33"/>
      <c r="S136" s="34"/>
    </row>
    <row r="137" spans="1:19">
      <c r="A137" s="30"/>
      <c r="B137" s="48"/>
      <c r="C137" s="49"/>
      <c r="D137" s="30"/>
      <c r="E137" s="48"/>
      <c r="F137" s="50"/>
      <c r="G137" s="49"/>
      <c r="H137" s="30">
        <v>21</v>
      </c>
      <c r="I137" s="51" t="s">
        <v>161</v>
      </c>
      <c r="J137" s="37" t="s">
        <v>262</v>
      </c>
      <c r="K137" s="31"/>
      <c r="L137" s="32"/>
      <c r="M137" s="33"/>
      <c r="N137" s="33"/>
      <c r="O137" s="34"/>
      <c r="P137" s="35"/>
      <c r="Q137" s="36"/>
      <c r="R137" s="33"/>
      <c r="S137" s="34"/>
    </row>
    <row r="138" spans="1:19">
      <c r="A138" s="30"/>
      <c r="B138" s="48"/>
      <c r="C138" s="49"/>
      <c r="D138" s="30"/>
      <c r="E138" s="48"/>
      <c r="F138" s="50"/>
      <c r="G138" s="49"/>
      <c r="H138" s="30">
        <v>22</v>
      </c>
      <c r="I138" s="51" t="s">
        <v>163</v>
      </c>
      <c r="J138" s="37" t="s">
        <v>263</v>
      </c>
      <c r="K138" s="31"/>
      <c r="L138" s="32"/>
      <c r="M138" s="33"/>
      <c r="N138" s="33"/>
      <c r="O138" s="34"/>
      <c r="P138" s="35"/>
      <c r="Q138" s="36"/>
      <c r="R138" s="33"/>
      <c r="S138" s="34"/>
    </row>
    <row r="139" spans="1:19">
      <c r="A139" s="30"/>
      <c r="B139" s="48"/>
      <c r="C139" s="49"/>
      <c r="D139" s="30"/>
      <c r="E139" s="48"/>
      <c r="F139" s="50"/>
      <c r="G139" s="49"/>
      <c r="H139" s="30">
        <v>23</v>
      </c>
      <c r="I139" s="51" t="s">
        <v>156</v>
      </c>
      <c r="J139" s="37" t="s">
        <v>264</v>
      </c>
      <c r="K139" s="31"/>
      <c r="L139" s="32"/>
      <c r="M139" s="33"/>
      <c r="N139" s="33"/>
      <c r="O139" s="34"/>
      <c r="P139" s="35"/>
      <c r="Q139" s="36"/>
      <c r="R139" s="33"/>
      <c r="S139" s="34"/>
    </row>
    <row r="140" spans="1:19">
      <c r="A140" s="30"/>
      <c r="B140" s="48"/>
      <c r="C140" s="49"/>
      <c r="D140" s="30"/>
      <c r="E140" s="48"/>
      <c r="F140" s="50"/>
      <c r="G140" s="49"/>
      <c r="H140" s="30">
        <v>24</v>
      </c>
      <c r="I140" s="51" t="s">
        <v>166</v>
      </c>
      <c r="J140" s="37" t="s">
        <v>265</v>
      </c>
      <c r="K140" s="31"/>
      <c r="L140" s="32"/>
      <c r="M140" s="33"/>
      <c r="N140" s="33"/>
      <c r="O140" s="34"/>
      <c r="P140" s="35"/>
      <c r="Q140" s="36"/>
      <c r="R140" s="33"/>
      <c r="S140" s="34"/>
    </row>
    <row r="141" spans="1:19">
      <c r="A141" s="30"/>
      <c r="B141" s="48"/>
      <c r="C141" s="49"/>
      <c r="D141" s="30"/>
      <c r="E141" s="48"/>
      <c r="F141" s="50"/>
      <c r="G141" s="49"/>
      <c r="H141" s="30">
        <v>25</v>
      </c>
      <c r="I141" s="51" t="s">
        <v>168</v>
      </c>
      <c r="J141" s="37" t="s">
        <v>266</v>
      </c>
      <c r="K141" s="31"/>
      <c r="L141" s="32"/>
      <c r="M141" s="33"/>
      <c r="N141" s="33"/>
      <c r="O141" s="34"/>
      <c r="P141" s="35"/>
      <c r="Q141" s="36"/>
      <c r="R141" s="33"/>
      <c r="S141" s="34"/>
    </row>
    <row r="142" spans="1:19">
      <c r="A142" s="30"/>
      <c r="B142" s="48"/>
      <c r="C142" s="49"/>
      <c r="D142" s="30"/>
      <c r="E142" s="48"/>
      <c r="F142" s="50"/>
      <c r="G142" s="49"/>
      <c r="H142" s="30"/>
      <c r="I142" s="51"/>
      <c r="J142" s="37" t="s">
        <v>267</v>
      </c>
      <c r="K142" s="31"/>
      <c r="L142" s="32"/>
      <c r="M142" s="33"/>
      <c r="N142" s="33"/>
      <c r="O142" s="34"/>
      <c r="P142" s="35"/>
      <c r="Q142" s="36"/>
      <c r="R142" s="33"/>
      <c r="S142" s="34"/>
    </row>
    <row r="143" spans="1:19">
      <c r="A143" s="30"/>
      <c r="B143" s="48"/>
      <c r="C143" s="49"/>
      <c r="D143" s="30"/>
      <c r="E143" s="48"/>
      <c r="F143" s="50"/>
      <c r="G143" s="49"/>
      <c r="H143" s="30">
        <v>26</v>
      </c>
      <c r="I143" s="51" t="s">
        <v>171</v>
      </c>
      <c r="J143" s="37" t="s">
        <v>268</v>
      </c>
      <c r="K143" s="31"/>
      <c r="L143" s="32"/>
      <c r="M143" s="33"/>
      <c r="N143" s="33"/>
      <c r="O143" s="34"/>
      <c r="P143" s="35"/>
      <c r="Q143" s="36"/>
      <c r="R143" s="33"/>
      <c r="S143" s="34"/>
    </row>
    <row r="144" spans="1:19">
      <c r="A144" s="30"/>
      <c r="B144" s="48"/>
      <c r="C144" s="49"/>
      <c r="D144" s="30"/>
      <c r="E144" s="48"/>
      <c r="F144" s="50"/>
      <c r="G144" s="49"/>
      <c r="H144" s="30">
        <v>27</v>
      </c>
      <c r="I144" s="51" t="s">
        <v>173</v>
      </c>
      <c r="J144" s="37" t="s">
        <v>269</v>
      </c>
      <c r="K144" s="31"/>
      <c r="L144" s="32"/>
      <c r="M144" s="33"/>
      <c r="N144" s="33"/>
      <c r="O144" s="34"/>
      <c r="P144" s="35"/>
      <c r="Q144" s="36"/>
      <c r="R144" s="33"/>
      <c r="S144" s="34"/>
    </row>
    <row r="145" spans="1:19">
      <c r="A145" s="30"/>
      <c r="B145" s="48"/>
      <c r="C145" s="49"/>
      <c r="D145" s="30"/>
      <c r="E145" s="48"/>
      <c r="F145" s="50"/>
      <c r="G145" s="49"/>
      <c r="H145" s="30">
        <v>28</v>
      </c>
      <c r="I145" s="51" t="s">
        <v>175</v>
      </c>
      <c r="J145" s="37" t="s">
        <v>270</v>
      </c>
      <c r="K145" s="31"/>
      <c r="L145" s="32"/>
      <c r="M145" s="33"/>
      <c r="N145" s="33"/>
      <c r="O145" s="34"/>
      <c r="P145" s="35"/>
      <c r="Q145" s="36"/>
      <c r="R145" s="33"/>
      <c r="S145" s="34"/>
    </row>
    <row r="146" spans="1:19">
      <c r="A146" s="30"/>
      <c r="B146" s="48"/>
      <c r="C146" s="49"/>
      <c r="D146" s="30"/>
      <c r="E146" s="48"/>
      <c r="F146" s="50"/>
      <c r="G146" s="49"/>
      <c r="H146" s="30">
        <v>29</v>
      </c>
      <c r="I146" s="51" t="s">
        <v>177</v>
      </c>
      <c r="J146" s="37" t="s">
        <v>271</v>
      </c>
      <c r="K146" s="31"/>
      <c r="L146" s="32"/>
      <c r="M146" s="33"/>
      <c r="N146" s="33"/>
      <c r="O146" s="34"/>
      <c r="P146" s="35"/>
      <c r="Q146" s="36"/>
      <c r="R146" s="33"/>
      <c r="S146" s="34"/>
    </row>
    <row r="147" spans="1:19" ht="110.25">
      <c r="A147" s="30"/>
      <c r="B147" s="48"/>
      <c r="C147" s="49"/>
      <c r="D147" s="30"/>
      <c r="E147" s="48"/>
      <c r="F147" s="50"/>
      <c r="G147" s="49"/>
      <c r="H147" s="30">
        <v>30</v>
      </c>
      <c r="I147" s="51" t="s">
        <v>179</v>
      </c>
      <c r="J147" s="37" t="s">
        <v>272</v>
      </c>
      <c r="K147" s="31"/>
      <c r="L147" s="32"/>
      <c r="M147" s="33"/>
      <c r="N147" s="33"/>
      <c r="O147" s="34"/>
      <c r="P147" s="35"/>
      <c r="Q147" s="36"/>
      <c r="R147" s="33"/>
      <c r="S147" s="34"/>
    </row>
    <row r="148" spans="1:19">
      <c r="A148" s="30"/>
      <c r="B148" s="48"/>
      <c r="C148" s="49"/>
      <c r="D148" s="30"/>
      <c r="E148" s="48"/>
      <c r="F148" s="50"/>
      <c r="G148" s="49"/>
      <c r="H148" s="30">
        <v>31</v>
      </c>
      <c r="I148" s="51" t="s">
        <v>181</v>
      </c>
      <c r="J148" s="37" t="s">
        <v>273</v>
      </c>
      <c r="K148" s="31"/>
      <c r="L148" s="32"/>
      <c r="M148" s="33"/>
      <c r="N148" s="33"/>
      <c r="O148" s="34"/>
      <c r="P148" s="35"/>
      <c r="Q148" s="36"/>
      <c r="R148" s="33"/>
      <c r="S148" s="34"/>
    </row>
    <row r="149" spans="1:19">
      <c r="A149" s="30"/>
      <c r="B149" s="48"/>
      <c r="C149" s="49"/>
      <c r="D149" s="30"/>
      <c r="E149" s="48"/>
      <c r="F149" s="50"/>
      <c r="G149" s="49"/>
      <c r="H149" s="30">
        <v>32</v>
      </c>
      <c r="I149" s="51" t="s">
        <v>183</v>
      </c>
      <c r="J149" s="37" t="s">
        <v>274</v>
      </c>
      <c r="K149" s="31"/>
      <c r="L149" s="32"/>
      <c r="M149" s="33"/>
      <c r="N149" s="33"/>
      <c r="O149" s="34"/>
      <c r="P149" s="35"/>
      <c r="Q149" s="36"/>
      <c r="R149" s="33"/>
      <c r="S149" s="34"/>
    </row>
    <row r="150" spans="1:19">
      <c r="A150" s="30"/>
      <c r="B150" s="48"/>
      <c r="C150" s="49"/>
      <c r="D150" s="30"/>
      <c r="E150" s="48"/>
      <c r="F150" s="50"/>
      <c r="G150" s="49"/>
      <c r="H150" s="30">
        <v>33</v>
      </c>
      <c r="I150" s="51" t="s">
        <v>185</v>
      </c>
      <c r="J150" s="37" t="s">
        <v>275</v>
      </c>
      <c r="K150" s="31"/>
      <c r="L150" s="32"/>
      <c r="M150" s="33"/>
      <c r="N150" s="33"/>
      <c r="O150" s="34"/>
      <c r="P150" s="35"/>
      <c r="Q150" s="36"/>
      <c r="R150" s="33"/>
      <c r="S150" s="34"/>
    </row>
    <row r="151" spans="1:19">
      <c r="A151" s="30"/>
      <c r="B151" s="48"/>
      <c r="C151" s="49"/>
      <c r="D151" s="30"/>
      <c r="E151" s="48"/>
      <c r="F151" s="50"/>
      <c r="G151" s="49"/>
      <c r="H151" s="30">
        <v>34</v>
      </c>
      <c r="I151" s="51" t="s">
        <v>187</v>
      </c>
      <c r="J151" s="37" t="s">
        <v>276</v>
      </c>
      <c r="K151" s="31"/>
      <c r="L151" s="32"/>
      <c r="M151" s="33"/>
      <c r="N151" s="33"/>
      <c r="O151" s="34"/>
      <c r="P151" s="35"/>
      <c r="Q151" s="36"/>
      <c r="R151" s="33"/>
      <c r="S151" s="34"/>
    </row>
    <row r="152" spans="1:19" ht="110.25">
      <c r="A152" s="30"/>
      <c r="B152" s="48"/>
      <c r="C152" s="49"/>
      <c r="D152" s="30"/>
      <c r="E152" s="48"/>
      <c r="F152" s="50"/>
      <c r="G152" s="49"/>
      <c r="H152" s="30">
        <v>35</v>
      </c>
      <c r="I152" s="51" t="s">
        <v>189</v>
      </c>
      <c r="J152" s="37" t="s">
        <v>277</v>
      </c>
      <c r="K152" s="31"/>
      <c r="L152" s="32"/>
      <c r="M152" s="33"/>
      <c r="N152" s="33"/>
      <c r="O152" s="34"/>
      <c r="P152" s="35"/>
      <c r="Q152" s="36"/>
      <c r="R152" s="33"/>
      <c r="S152" s="34"/>
    </row>
    <row r="153" spans="1:19">
      <c r="A153" s="30"/>
      <c r="B153" s="48"/>
      <c r="C153" s="49"/>
      <c r="D153" s="30"/>
      <c r="E153" s="48"/>
      <c r="F153" s="50"/>
      <c r="G153" s="49"/>
      <c r="H153" s="30">
        <v>36</v>
      </c>
      <c r="I153" s="51" t="s">
        <v>191</v>
      </c>
      <c r="J153" s="37" t="s">
        <v>278</v>
      </c>
      <c r="K153" s="31"/>
      <c r="L153" s="32"/>
      <c r="M153" s="33"/>
      <c r="N153" s="33"/>
      <c r="O153" s="34"/>
      <c r="P153" s="35"/>
      <c r="Q153" s="36"/>
      <c r="R153" s="33"/>
      <c r="S153" s="34"/>
    </row>
    <row r="154" spans="1:19">
      <c r="A154" s="30"/>
      <c r="B154" s="48"/>
      <c r="C154" s="49"/>
      <c r="D154" s="30"/>
      <c r="E154" s="48"/>
      <c r="F154" s="50"/>
      <c r="G154" s="49"/>
      <c r="H154" s="30">
        <v>37</v>
      </c>
      <c r="I154" s="51" t="s">
        <v>193</v>
      </c>
      <c r="J154" s="37" t="s">
        <v>279</v>
      </c>
      <c r="K154" s="31"/>
      <c r="L154" s="32"/>
      <c r="M154" s="33"/>
      <c r="N154" s="33"/>
      <c r="O154" s="34"/>
      <c r="P154" s="35"/>
      <c r="Q154" s="36"/>
      <c r="R154" s="33"/>
      <c r="S154" s="34"/>
    </row>
    <row r="155" spans="1:19">
      <c r="A155" s="30"/>
      <c r="B155" s="48"/>
      <c r="C155" s="49"/>
      <c r="D155" s="30"/>
      <c r="E155" s="48"/>
      <c r="F155" s="50"/>
      <c r="G155" s="49"/>
      <c r="H155" s="30">
        <v>38</v>
      </c>
      <c r="I155" s="51" t="s">
        <v>194</v>
      </c>
      <c r="J155" s="37" t="s">
        <v>280</v>
      </c>
      <c r="K155" s="31"/>
      <c r="L155" s="32"/>
      <c r="M155" s="33"/>
      <c r="N155" s="33"/>
      <c r="O155" s="34"/>
      <c r="P155" s="35"/>
      <c r="Q155" s="36"/>
      <c r="R155" s="33"/>
      <c r="S155" s="34"/>
    </row>
    <row r="156" spans="1:19" ht="141.75">
      <c r="A156" s="30"/>
      <c r="B156" s="48"/>
      <c r="C156" s="49"/>
      <c r="D156" s="30"/>
      <c r="E156" s="48"/>
      <c r="F156" s="50"/>
      <c r="G156" s="49"/>
      <c r="H156" s="30">
        <v>39</v>
      </c>
      <c r="I156" s="51" t="s">
        <v>56</v>
      </c>
      <c r="J156" s="37" t="s">
        <v>281</v>
      </c>
      <c r="K156" s="31"/>
      <c r="L156" s="32"/>
      <c r="M156" s="33"/>
      <c r="N156" s="33"/>
      <c r="O156" s="34"/>
      <c r="P156" s="35"/>
      <c r="Q156" s="36"/>
      <c r="R156" s="33"/>
      <c r="S156" s="34"/>
    </row>
    <row r="157" spans="1:19" ht="157.5">
      <c r="A157" s="30"/>
      <c r="B157" s="48"/>
      <c r="C157" s="49"/>
      <c r="D157" s="30"/>
      <c r="E157" s="48"/>
      <c r="F157" s="50"/>
      <c r="G157" s="49"/>
      <c r="H157" s="30">
        <v>40</v>
      </c>
      <c r="I157" s="51" t="s">
        <v>58</v>
      </c>
      <c r="J157" s="37" t="s">
        <v>282</v>
      </c>
      <c r="K157" s="31"/>
      <c r="L157" s="32"/>
      <c r="M157" s="33"/>
      <c r="N157" s="33"/>
      <c r="O157" s="34"/>
      <c r="P157" s="35"/>
      <c r="Q157" s="36"/>
      <c r="R157" s="33"/>
      <c r="S157" s="34"/>
    </row>
    <row r="158" spans="1:19" ht="157.5">
      <c r="A158" s="30"/>
      <c r="B158" s="48"/>
      <c r="C158" s="49"/>
      <c r="D158" s="30"/>
      <c r="E158" s="48"/>
      <c r="F158" s="50"/>
      <c r="G158" s="49"/>
      <c r="H158" s="30">
        <v>41</v>
      </c>
      <c r="I158" s="51" t="s">
        <v>60</v>
      </c>
      <c r="J158" s="37" t="s">
        <v>283</v>
      </c>
      <c r="K158" s="31"/>
      <c r="L158" s="32"/>
      <c r="M158" s="33"/>
      <c r="N158" s="33"/>
      <c r="O158" s="34"/>
      <c r="P158" s="35"/>
      <c r="Q158" s="36"/>
      <c r="R158" s="33"/>
      <c r="S158" s="34"/>
    </row>
    <row r="159" spans="1:19" ht="173.25">
      <c r="A159" s="30"/>
      <c r="B159" s="48"/>
      <c r="C159" s="49"/>
      <c r="D159" s="30"/>
      <c r="E159" s="48"/>
      <c r="F159" s="50"/>
      <c r="G159" s="49"/>
      <c r="H159" s="30">
        <v>42</v>
      </c>
      <c r="I159" s="51" t="s">
        <v>62</v>
      </c>
      <c r="J159" s="37" t="s">
        <v>284</v>
      </c>
      <c r="K159" s="31"/>
      <c r="L159" s="32"/>
      <c r="M159" s="33"/>
      <c r="N159" s="33"/>
      <c r="O159" s="34"/>
      <c r="P159" s="35"/>
      <c r="Q159" s="36"/>
      <c r="R159" s="33"/>
      <c r="S159" s="34"/>
    </row>
    <row r="160" spans="1:19">
      <c r="A160" s="30"/>
      <c r="B160" s="48"/>
      <c r="C160" s="49"/>
      <c r="D160" s="30"/>
      <c r="E160" s="48"/>
      <c r="F160" s="50"/>
      <c r="G160" s="49"/>
      <c r="H160" s="30">
        <v>43</v>
      </c>
      <c r="I160" s="51" t="s">
        <v>64</v>
      </c>
      <c r="J160" s="37" t="s">
        <v>285</v>
      </c>
      <c r="K160" s="31"/>
      <c r="L160" s="32"/>
      <c r="M160" s="33"/>
      <c r="N160" s="33"/>
      <c r="O160" s="34"/>
      <c r="P160" s="35"/>
      <c r="Q160" s="36"/>
      <c r="R160" s="33"/>
      <c r="S160" s="34"/>
    </row>
    <row r="161" spans="1:19">
      <c r="A161" s="30"/>
      <c r="B161" s="48"/>
      <c r="C161" s="49"/>
      <c r="D161" s="30"/>
      <c r="E161" s="48"/>
      <c r="F161" s="50"/>
      <c r="G161" s="49"/>
      <c r="H161" s="30">
        <v>44</v>
      </c>
      <c r="I161" s="51" t="s">
        <v>66</v>
      </c>
      <c r="J161" s="37" t="s">
        <v>286</v>
      </c>
      <c r="K161" s="31"/>
      <c r="L161" s="32"/>
      <c r="M161" s="33"/>
      <c r="N161" s="33"/>
      <c r="O161" s="34"/>
      <c r="P161" s="35"/>
      <c r="Q161" s="36"/>
      <c r="R161" s="33"/>
      <c r="S161" s="34"/>
    </row>
    <row r="162" spans="1:19">
      <c r="A162" s="30"/>
      <c r="B162" s="48"/>
      <c r="C162" s="49"/>
      <c r="D162" s="30"/>
      <c r="E162" s="48"/>
      <c r="F162" s="50"/>
      <c r="G162" s="49"/>
      <c r="H162" s="30">
        <v>45</v>
      </c>
      <c r="I162" s="51" t="s">
        <v>68</v>
      </c>
      <c r="J162" s="37" t="s">
        <v>287</v>
      </c>
      <c r="K162" s="31"/>
      <c r="L162" s="32"/>
      <c r="M162" s="33"/>
      <c r="N162" s="33"/>
      <c r="O162" s="34"/>
      <c r="P162" s="35"/>
      <c r="Q162" s="36"/>
      <c r="R162" s="33"/>
      <c r="S162" s="34"/>
    </row>
    <row r="163" spans="1:19">
      <c r="A163" s="30"/>
      <c r="B163" s="48"/>
      <c r="C163" s="49"/>
      <c r="D163" s="30">
        <v>3</v>
      </c>
      <c r="E163" s="57" t="s">
        <v>200</v>
      </c>
      <c r="F163" s="59"/>
      <c r="G163" s="58"/>
      <c r="H163" s="30"/>
      <c r="I163" s="51" t="s">
        <v>201</v>
      </c>
      <c r="J163" s="37" t="s">
        <v>202</v>
      </c>
      <c r="K163" s="31"/>
      <c r="L163" s="32"/>
      <c r="M163" s="33"/>
      <c r="N163" s="33"/>
      <c r="O163" s="34"/>
      <c r="P163" s="35"/>
      <c r="Q163" s="36"/>
      <c r="R163" s="33"/>
      <c r="S163" s="34"/>
    </row>
    <row r="164" spans="1:19" ht="136.5" customHeight="1">
      <c r="A164" s="30">
        <v>2</v>
      </c>
      <c r="B164" s="57" t="s">
        <v>203</v>
      </c>
      <c r="C164" s="58"/>
      <c r="D164" s="30">
        <v>1</v>
      </c>
      <c r="E164" s="57" t="s">
        <v>43</v>
      </c>
      <c r="F164" s="59"/>
      <c r="G164" s="58"/>
      <c r="H164" s="30">
        <v>1</v>
      </c>
      <c r="I164" s="51" t="s">
        <v>44</v>
      </c>
      <c r="J164" s="37" t="s">
        <v>94</v>
      </c>
      <c r="K164" s="31"/>
      <c r="L164" s="32"/>
      <c r="M164" s="33"/>
      <c r="N164" s="33"/>
      <c r="O164" s="34"/>
      <c r="P164" s="35"/>
      <c r="Q164" s="36"/>
      <c r="R164" s="33"/>
      <c r="S164" s="34"/>
    </row>
    <row r="165" spans="1:19">
      <c r="A165" s="30"/>
      <c r="B165" s="48"/>
      <c r="C165" s="49"/>
      <c r="D165" s="30">
        <v>2</v>
      </c>
      <c r="E165" s="57" t="s">
        <v>43</v>
      </c>
      <c r="F165" s="59"/>
      <c r="G165" s="58"/>
      <c r="H165" s="30">
        <v>1</v>
      </c>
      <c r="I165" s="51" t="s">
        <v>132</v>
      </c>
      <c r="J165" s="37" t="s">
        <v>288</v>
      </c>
      <c r="K165" s="31"/>
      <c r="L165" s="32"/>
      <c r="M165" s="33"/>
      <c r="N165" s="33"/>
      <c r="O165" s="34"/>
      <c r="P165" s="35"/>
      <c r="Q165" s="36"/>
      <c r="R165" s="33"/>
      <c r="S165" s="34"/>
    </row>
    <row r="166" spans="1:19">
      <c r="A166" s="30"/>
      <c r="B166" s="48"/>
      <c r="C166" s="49"/>
      <c r="D166" s="30"/>
      <c r="E166" s="48"/>
      <c r="F166" s="50"/>
      <c r="G166" s="49"/>
      <c r="H166" s="30">
        <v>2</v>
      </c>
      <c r="I166" s="51" t="s">
        <v>46</v>
      </c>
      <c r="J166" s="37" t="s">
        <v>289</v>
      </c>
      <c r="K166" s="31"/>
      <c r="L166" s="32"/>
      <c r="M166" s="33"/>
      <c r="N166" s="33"/>
      <c r="O166" s="34"/>
      <c r="P166" s="35"/>
      <c r="Q166" s="36"/>
      <c r="R166" s="33"/>
      <c r="S166" s="34"/>
    </row>
    <row r="167" spans="1:19">
      <c r="A167" s="30"/>
      <c r="B167" s="48"/>
      <c r="C167" s="49"/>
      <c r="D167" s="30"/>
      <c r="E167" s="48"/>
      <c r="F167" s="50"/>
      <c r="G167" s="49"/>
      <c r="H167" s="30">
        <v>3</v>
      </c>
      <c r="I167" s="51" t="s">
        <v>48</v>
      </c>
      <c r="J167" s="37" t="s">
        <v>290</v>
      </c>
      <c r="K167" s="31"/>
      <c r="L167" s="32"/>
      <c r="M167" s="33"/>
      <c r="N167" s="33"/>
      <c r="O167" s="34"/>
      <c r="P167" s="35"/>
      <c r="Q167" s="36"/>
      <c r="R167" s="33"/>
      <c r="S167" s="34"/>
    </row>
    <row r="168" spans="1:19">
      <c r="A168" s="30"/>
      <c r="B168" s="48"/>
      <c r="C168" s="49"/>
      <c r="D168" s="30"/>
      <c r="E168" s="48"/>
      <c r="F168" s="50"/>
      <c r="G168" s="49"/>
      <c r="H168" s="30">
        <v>4</v>
      </c>
      <c r="I168" s="51" t="s">
        <v>50</v>
      </c>
      <c r="J168" s="37" t="s">
        <v>291</v>
      </c>
      <c r="K168" s="31"/>
      <c r="L168" s="32"/>
      <c r="M168" s="33"/>
      <c r="N168" s="33"/>
      <c r="O168" s="34"/>
      <c r="P168" s="35"/>
      <c r="Q168" s="36"/>
      <c r="R168" s="33"/>
      <c r="S168" s="34"/>
    </row>
    <row r="169" spans="1:19">
      <c r="A169" s="30"/>
      <c r="B169" s="48"/>
      <c r="C169" s="49"/>
      <c r="D169" s="30"/>
      <c r="E169" s="48"/>
      <c r="F169" s="50"/>
      <c r="G169" s="49"/>
      <c r="H169" s="30">
        <v>5</v>
      </c>
      <c r="I169" s="51" t="s">
        <v>134</v>
      </c>
      <c r="J169" s="37" t="s">
        <v>292</v>
      </c>
      <c r="K169" s="31"/>
      <c r="L169" s="32"/>
      <c r="M169" s="33"/>
      <c r="N169" s="33"/>
      <c r="O169" s="34"/>
      <c r="P169" s="35"/>
      <c r="Q169" s="36"/>
      <c r="R169" s="33"/>
      <c r="S169" s="34"/>
    </row>
    <row r="170" spans="1:19">
      <c r="A170" s="30"/>
      <c r="B170" s="48"/>
      <c r="C170" s="49"/>
      <c r="D170" s="30"/>
      <c r="E170" s="48"/>
      <c r="F170" s="50"/>
      <c r="G170" s="49"/>
      <c r="H170" s="30">
        <v>6</v>
      </c>
      <c r="I170" s="51" t="s">
        <v>136</v>
      </c>
      <c r="J170" s="37" t="s">
        <v>95</v>
      </c>
      <c r="K170" s="31"/>
      <c r="L170" s="32"/>
      <c r="M170" s="33"/>
      <c r="N170" s="33"/>
      <c r="O170" s="34"/>
      <c r="P170" s="35"/>
      <c r="Q170" s="36"/>
      <c r="R170" s="33"/>
      <c r="S170" s="34"/>
    </row>
    <row r="171" spans="1:19">
      <c r="A171" s="30"/>
      <c r="B171" s="48"/>
      <c r="C171" s="49"/>
      <c r="D171" s="30"/>
      <c r="E171" s="48"/>
      <c r="F171" s="50"/>
      <c r="G171" s="49"/>
      <c r="H171" s="30">
        <v>7</v>
      </c>
      <c r="I171" s="51" t="s">
        <v>52</v>
      </c>
      <c r="J171" s="37" t="s">
        <v>96</v>
      </c>
      <c r="K171" s="31"/>
      <c r="L171" s="32"/>
      <c r="M171" s="33"/>
      <c r="N171" s="33"/>
      <c r="O171" s="34"/>
      <c r="P171" s="35"/>
      <c r="Q171" s="36"/>
      <c r="R171" s="33"/>
      <c r="S171" s="34"/>
    </row>
    <row r="172" spans="1:19">
      <c r="A172" s="30"/>
      <c r="B172" s="48"/>
      <c r="C172" s="49"/>
      <c r="D172" s="30"/>
      <c r="E172" s="48"/>
      <c r="F172" s="50"/>
      <c r="G172" s="49"/>
      <c r="H172" s="30">
        <v>8</v>
      </c>
      <c r="I172" s="51" t="s">
        <v>54</v>
      </c>
      <c r="J172" s="37" t="s">
        <v>97</v>
      </c>
      <c r="K172" s="31"/>
      <c r="L172" s="32"/>
      <c r="M172" s="33"/>
      <c r="N172" s="33"/>
      <c r="O172" s="34"/>
      <c r="P172" s="35"/>
      <c r="Q172" s="36"/>
      <c r="R172" s="33"/>
      <c r="S172" s="34"/>
    </row>
    <row r="173" spans="1:19">
      <c r="A173" s="30"/>
      <c r="B173" s="48"/>
      <c r="C173" s="49"/>
      <c r="D173" s="30"/>
      <c r="E173" s="48"/>
      <c r="F173" s="50"/>
      <c r="G173" s="49"/>
      <c r="H173" s="30">
        <v>9</v>
      </c>
      <c r="I173" s="51" t="s">
        <v>138</v>
      </c>
      <c r="J173" s="37" t="s">
        <v>98</v>
      </c>
      <c r="K173" s="31"/>
      <c r="L173" s="32"/>
      <c r="M173" s="33"/>
      <c r="N173" s="33"/>
      <c r="O173" s="34"/>
      <c r="P173" s="35"/>
      <c r="Q173" s="36"/>
      <c r="R173" s="33"/>
      <c r="S173" s="34"/>
    </row>
    <row r="174" spans="1:19">
      <c r="A174" s="30"/>
      <c r="B174" s="48"/>
      <c r="C174" s="49"/>
      <c r="D174" s="30"/>
      <c r="E174" s="48"/>
      <c r="F174" s="50"/>
      <c r="G174" s="49"/>
      <c r="H174" s="30">
        <v>10</v>
      </c>
      <c r="I174" s="51" t="s">
        <v>140</v>
      </c>
      <c r="J174" s="37" t="s">
        <v>293</v>
      </c>
      <c r="K174" s="31"/>
      <c r="L174" s="32"/>
      <c r="M174" s="33"/>
      <c r="N174" s="33"/>
      <c r="O174" s="34"/>
      <c r="P174" s="35"/>
      <c r="Q174" s="36"/>
      <c r="R174" s="33"/>
      <c r="S174" s="34"/>
    </row>
    <row r="175" spans="1:19">
      <c r="A175" s="30"/>
      <c r="B175" s="48"/>
      <c r="C175" s="49"/>
      <c r="D175" s="30"/>
      <c r="E175" s="48"/>
      <c r="F175" s="50"/>
      <c r="G175" s="49"/>
      <c r="H175" s="30">
        <v>11</v>
      </c>
      <c r="I175" s="51" t="s">
        <v>142</v>
      </c>
      <c r="J175" s="37" t="s">
        <v>294</v>
      </c>
      <c r="K175" s="31"/>
      <c r="L175" s="32"/>
      <c r="M175" s="33"/>
      <c r="N175" s="33"/>
      <c r="O175" s="34"/>
      <c r="P175" s="35"/>
      <c r="Q175" s="36"/>
      <c r="R175" s="33"/>
      <c r="S175" s="34"/>
    </row>
    <row r="176" spans="1:19">
      <c r="A176" s="30"/>
      <c r="B176" s="48"/>
      <c r="C176" s="49"/>
      <c r="D176" s="30"/>
      <c r="E176" s="48"/>
      <c r="F176" s="50"/>
      <c r="G176" s="49"/>
      <c r="H176" s="30">
        <v>12</v>
      </c>
      <c r="I176" s="51" t="s">
        <v>144</v>
      </c>
      <c r="J176" s="37" t="s">
        <v>295</v>
      </c>
      <c r="K176" s="31"/>
      <c r="L176" s="32"/>
      <c r="M176" s="33"/>
      <c r="N176" s="33"/>
      <c r="O176" s="34"/>
      <c r="P176" s="35"/>
      <c r="Q176" s="36"/>
      <c r="R176" s="33"/>
      <c r="S176" s="34"/>
    </row>
    <row r="177" spans="1:19">
      <c r="A177" s="30"/>
      <c r="B177" s="48"/>
      <c r="C177" s="49"/>
      <c r="D177" s="30"/>
      <c r="E177" s="48"/>
      <c r="F177" s="50"/>
      <c r="G177" s="49"/>
      <c r="H177" s="30">
        <v>13</v>
      </c>
      <c r="I177" s="51" t="s">
        <v>146</v>
      </c>
      <c r="J177" s="37" t="s">
        <v>296</v>
      </c>
      <c r="K177" s="31"/>
      <c r="L177" s="32"/>
      <c r="M177" s="33"/>
      <c r="N177" s="33"/>
      <c r="O177" s="34"/>
      <c r="P177" s="35"/>
      <c r="Q177" s="36"/>
      <c r="R177" s="33"/>
      <c r="S177" s="34"/>
    </row>
    <row r="178" spans="1:19">
      <c r="A178" s="30"/>
      <c r="B178" s="48"/>
      <c r="C178" s="49"/>
      <c r="D178" s="30"/>
      <c r="E178" s="48"/>
      <c r="F178" s="50"/>
      <c r="G178" s="49"/>
      <c r="H178" s="30">
        <v>14</v>
      </c>
      <c r="I178" s="51" t="s">
        <v>148</v>
      </c>
      <c r="J178" s="37" t="s">
        <v>297</v>
      </c>
      <c r="K178" s="31"/>
      <c r="L178" s="32"/>
      <c r="M178" s="33"/>
      <c r="N178" s="33"/>
      <c r="O178" s="34"/>
      <c r="P178" s="35"/>
      <c r="Q178" s="36"/>
      <c r="R178" s="33"/>
      <c r="S178" s="34"/>
    </row>
    <row r="179" spans="1:19">
      <c r="A179" s="30"/>
      <c r="B179" s="48"/>
      <c r="C179" s="49"/>
      <c r="D179" s="30"/>
      <c r="E179" s="48"/>
      <c r="F179" s="50"/>
      <c r="G179" s="49"/>
      <c r="H179" s="30">
        <v>15</v>
      </c>
      <c r="I179" s="51" t="s">
        <v>150</v>
      </c>
      <c r="J179" s="37" t="s">
        <v>298</v>
      </c>
      <c r="K179" s="31"/>
      <c r="L179" s="32"/>
      <c r="M179" s="33"/>
      <c r="N179" s="33"/>
      <c r="O179" s="34"/>
      <c r="P179" s="35"/>
      <c r="Q179" s="36"/>
      <c r="R179" s="33"/>
      <c r="S179" s="34"/>
    </row>
    <row r="180" spans="1:19">
      <c r="A180" s="30"/>
      <c r="B180" s="48"/>
      <c r="C180" s="49"/>
      <c r="D180" s="30"/>
      <c r="E180" s="48"/>
      <c r="F180" s="50"/>
      <c r="G180" s="49"/>
      <c r="H180" s="30">
        <v>16</v>
      </c>
      <c r="I180" s="51" t="s">
        <v>152</v>
      </c>
      <c r="J180" s="37" t="s">
        <v>299</v>
      </c>
      <c r="K180" s="31"/>
      <c r="L180" s="32"/>
      <c r="M180" s="33"/>
      <c r="N180" s="33"/>
      <c r="O180" s="34"/>
      <c r="P180" s="35"/>
      <c r="Q180" s="36"/>
      <c r="R180" s="33"/>
      <c r="S180" s="34"/>
    </row>
    <row r="181" spans="1:19">
      <c r="A181" s="30"/>
      <c r="B181" s="48"/>
      <c r="C181" s="49"/>
      <c r="D181" s="30"/>
      <c r="E181" s="48"/>
      <c r="F181" s="50"/>
      <c r="G181" s="49"/>
      <c r="H181" s="30">
        <v>17</v>
      </c>
      <c r="I181" s="51" t="s">
        <v>154</v>
      </c>
      <c r="J181" s="37" t="s">
        <v>300</v>
      </c>
      <c r="K181" s="31"/>
      <c r="L181" s="32"/>
      <c r="M181" s="33"/>
      <c r="N181" s="33"/>
      <c r="O181" s="34"/>
      <c r="P181" s="35"/>
      <c r="Q181" s="36"/>
      <c r="R181" s="33"/>
      <c r="S181" s="34"/>
    </row>
    <row r="182" spans="1:19">
      <c r="A182" s="30"/>
      <c r="B182" s="48"/>
      <c r="C182" s="49"/>
      <c r="D182" s="30"/>
      <c r="E182" s="48"/>
      <c r="F182" s="50"/>
      <c r="G182" s="49"/>
      <c r="H182" s="30">
        <v>18</v>
      </c>
      <c r="I182" s="51" t="s">
        <v>156</v>
      </c>
      <c r="J182" s="37" t="s">
        <v>301</v>
      </c>
      <c r="K182" s="31"/>
      <c r="L182" s="32"/>
      <c r="M182" s="33"/>
      <c r="N182" s="33"/>
      <c r="O182" s="34"/>
      <c r="P182" s="35"/>
      <c r="Q182" s="36"/>
      <c r="R182" s="33"/>
      <c r="S182" s="34"/>
    </row>
    <row r="183" spans="1:19">
      <c r="A183" s="30"/>
      <c r="B183" s="48"/>
      <c r="C183" s="49"/>
      <c r="D183" s="30"/>
      <c r="E183" s="48"/>
      <c r="F183" s="50"/>
      <c r="G183" s="49"/>
      <c r="H183" s="30">
        <v>19</v>
      </c>
      <c r="I183" s="51" t="s">
        <v>146</v>
      </c>
      <c r="J183" s="37" t="s">
        <v>302</v>
      </c>
      <c r="K183" s="31"/>
      <c r="L183" s="32"/>
      <c r="M183" s="33"/>
      <c r="N183" s="33"/>
      <c r="O183" s="34"/>
      <c r="P183" s="35"/>
      <c r="Q183" s="36"/>
      <c r="R183" s="33"/>
      <c r="S183" s="34"/>
    </row>
    <row r="184" spans="1:19">
      <c r="A184" s="30"/>
      <c r="B184" s="48"/>
      <c r="C184" s="49"/>
      <c r="D184" s="30"/>
      <c r="E184" s="48"/>
      <c r="F184" s="50"/>
      <c r="G184" s="49"/>
      <c r="H184" s="30">
        <v>20</v>
      </c>
      <c r="I184" s="51" t="s">
        <v>159</v>
      </c>
      <c r="J184" s="37" t="s">
        <v>303</v>
      </c>
      <c r="K184" s="31"/>
      <c r="L184" s="32"/>
      <c r="M184" s="33"/>
      <c r="N184" s="33"/>
      <c r="O184" s="34"/>
      <c r="P184" s="35"/>
      <c r="Q184" s="36"/>
      <c r="R184" s="33"/>
      <c r="S184" s="34"/>
    </row>
    <row r="185" spans="1:19">
      <c r="A185" s="30"/>
      <c r="B185" s="48"/>
      <c r="C185" s="49"/>
      <c r="D185" s="30"/>
      <c r="E185" s="48"/>
      <c r="F185" s="50"/>
      <c r="G185" s="49"/>
      <c r="H185" s="30">
        <v>21</v>
      </c>
      <c r="I185" s="51" t="s">
        <v>161</v>
      </c>
      <c r="J185" s="37" t="s">
        <v>304</v>
      </c>
      <c r="K185" s="31"/>
      <c r="L185" s="32"/>
      <c r="M185" s="33"/>
      <c r="N185" s="33"/>
      <c r="O185" s="34"/>
      <c r="P185" s="35"/>
      <c r="Q185" s="36"/>
      <c r="R185" s="33"/>
      <c r="S185" s="34"/>
    </row>
    <row r="186" spans="1:19">
      <c r="A186" s="30"/>
      <c r="B186" s="48"/>
      <c r="C186" s="49"/>
      <c r="D186" s="30"/>
      <c r="E186" s="48"/>
      <c r="F186" s="50"/>
      <c r="G186" s="49"/>
      <c r="H186" s="30">
        <v>22</v>
      </c>
      <c r="I186" s="51" t="s">
        <v>163</v>
      </c>
      <c r="J186" s="37" t="s">
        <v>305</v>
      </c>
      <c r="K186" s="31"/>
      <c r="L186" s="32"/>
      <c r="M186" s="33"/>
      <c r="N186" s="33"/>
      <c r="O186" s="34"/>
      <c r="P186" s="35"/>
      <c r="Q186" s="36"/>
      <c r="R186" s="33"/>
      <c r="S186" s="34"/>
    </row>
    <row r="187" spans="1:19">
      <c r="A187" s="30"/>
      <c r="B187" s="48"/>
      <c r="C187" s="49"/>
      <c r="D187" s="30"/>
      <c r="E187" s="48"/>
      <c r="F187" s="50"/>
      <c r="G187" s="49"/>
      <c r="H187" s="30">
        <v>23</v>
      </c>
      <c r="I187" s="51" t="s">
        <v>156</v>
      </c>
      <c r="J187" s="37" t="s">
        <v>306</v>
      </c>
      <c r="K187" s="31"/>
      <c r="L187" s="32"/>
      <c r="M187" s="33"/>
      <c r="N187" s="33"/>
      <c r="O187" s="34"/>
      <c r="P187" s="35"/>
      <c r="Q187" s="36"/>
      <c r="R187" s="33"/>
      <c r="S187" s="34"/>
    </row>
    <row r="188" spans="1:19">
      <c r="A188" s="30"/>
      <c r="B188" s="48"/>
      <c r="C188" s="49"/>
      <c r="D188" s="30"/>
      <c r="E188" s="48"/>
      <c r="F188" s="50"/>
      <c r="G188" s="49"/>
      <c r="H188" s="30">
        <v>24</v>
      </c>
      <c r="I188" s="51" t="s">
        <v>166</v>
      </c>
      <c r="J188" s="37" t="s">
        <v>307</v>
      </c>
      <c r="K188" s="31"/>
      <c r="L188" s="32"/>
      <c r="M188" s="33"/>
      <c r="N188" s="33"/>
      <c r="O188" s="34"/>
      <c r="P188" s="35"/>
      <c r="Q188" s="36"/>
      <c r="R188" s="33"/>
      <c r="S188" s="34"/>
    </row>
    <row r="189" spans="1:19">
      <c r="A189" s="30"/>
      <c r="B189" s="48"/>
      <c r="C189" s="49"/>
      <c r="D189" s="30"/>
      <c r="E189" s="48"/>
      <c r="F189" s="50"/>
      <c r="G189" s="49"/>
      <c r="H189" s="30">
        <v>25</v>
      </c>
      <c r="I189" s="51" t="s">
        <v>168</v>
      </c>
      <c r="J189" s="37" t="s">
        <v>308</v>
      </c>
      <c r="K189" s="31"/>
      <c r="L189" s="32"/>
      <c r="M189" s="33"/>
      <c r="N189" s="33"/>
      <c r="O189" s="34"/>
      <c r="P189" s="35"/>
      <c r="Q189" s="36"/>
      <c r="R189" s="33"/>
      <c r="S189" s="34"/>
    </row>
    <row r="190" spans="1:19">
      <c r="A190" s="30"/>
      <c r="B190" s="48"/>
      <c r="C190" s="49"/>
      <c r="D190" s="30"/>
      <c r="E190" s="48"/>
      <c r="F190" s="50"/>
      <c r="G190" s="49"/>
      <c r="H190" s="30"/>
      <c r="I190" s="51"/>
      <c r="J190" s="37" t="s">
        <v>309</v>
      </c>
      <c r="K190" s="31"/>
      <c r="L190" s="32"/>
      <c r="M190" s="33"/>
      <c r="N190" s="33"/>
      <c r="O190" s="34"/>
      <c r="P190" s="35"/>
      <c r="Q190" s="36"/>
      <c r="R190" s="33"/>
      <c r="S190" s="34"/>
    </row>
    <row r="191" spans="1:19">
      <c r="A191" s="30"/>
      <c r="B191" s="48"/>
      <c r="C191" s="49"/>
      <c r="D191" s="30"/>
      <c r="E191" s="48"/>
      <c r="F191" s="50"/>
      <c r="G191" s="49"/>
      <c r="H191" s="30">
        <v>26</v>
      </c>
      <c r="I191" s="51" t="s">
        <v>171</v>
      </c>
      <c r="J191" s="37" t="s">
        <v>310</v>
      </c>
      <c r="K191" s="31"/>
      <c r="L191" s="32"/>
      <c r="M191" s="33"/>
      <c r="N191" s="33"/>
      <c r="O191" s="34"/>
      <c r="P191" s="35"/>
      <c r="Q191" s="36"/>
      <c r="R191" s="33"/>
      <c r="S191" s="34"/>
    </row>
    <row r="192" spans="1:19">
      <c r="A192" s="30"/>
      <c r="B192" s="48"/>
      <c r="C192" s="49"/>
      <c r="D192" s="30"/>
      <c r="E192" s="48"/>
      <c r="F192" s="50"/>
      <c r="G192" s="49"/>
      <c r="H192" s="30">
        <v>27</v>
      </c>
      <c r="I192" s="51" t="s">
        <v>173</v>
      </c>
      <c r="J192" s="37" t="s">
        <v>311</v>
      </c>
      <c r="K192" s="31"/>
      <c r="L192" s="32"/>
      <c r="M192" s="33"/>
      <c r="N192" s="33"/>
      <c r="O192" s="34"/>
      <c r="P192" s="35"/>
      <c r="Q192" s="36"/>
      <c r="R192" s="33"/>
      <c r="S192" s="34"/>
    </row>
    <row r="193" spans="1:19">
      <c r="A193" s="30"/>
      <c r="B193" s="48"/>
      <c r="C193" s="49"/>
      <c r="D193" s="30"/>
      <c r="E193" s="48"/>
      <c r="F193" s="50"/>
      <c r="G193" s="49"/>
      <c r="H193" s="30">
        <v>28</v>
      </c>
      <c r="I193" s="51" t="s">
        <v>175</v>
      </c>
      <c r="J193" s="37" t="s">
        <v>312</v>
      </c>
      <c r="K193" s="31"/>
      <c r="L193" s="32"/>
      <c r="M193" s="33"/>
      <c r="N193" s="33"/>
      <c r="O193" s="34"/>
      <c r="P193" s="35"/>
      <c r="Q193" s="36"/>
      <c r="R193" s="33"/>
      <c r="S193" s="34"/>
    </row>
    <row r="194" spans="1:19">
      <c r="A194" s="30"/>
      <c r="B194" s="48"/>
      <c r="C194" s="49"/>
      <c r="D194" s="30"/>
      <c r="E194" s="48"/>
      <c r="F194" s="50"/>
      <c r="G194" s="49"/>
      <c r="H194" s="30">
        <v>29</v>
      </c>
      <c r="I194" s="51" t="s">
        <v>177</v>
      </c>
      <c r="J194" s="37" t="s">
        <v>313</v>
      </c>
      <c r="K194" s="31"/>
      <c r="L194" s="32"/>
      <c r="M194" s="33"/>
      <c r="N194" s="33"/>
      <c r="O194" s="34"/>
      <c r="P194" s="35"/>
      <c r="Q194" s="36"/>
      <c r="R194" s="33"/>
      <c r="S194" s="34"/>
    </row>
    <row r="195" spans="1:19">
      <c r="A195" s="30"/>
      <c r="B195" s="48"/>
      <c r="C195" s="49"/>
      <c r="D195" s="30"/>
      <c r="E195" s="48"/>
      <c r="F195" s="50"/>
      <c r="G195" s="49"/>
      <c r="H195" s="30">
        <v>30</v>
      </c>
      <c r="I195" s="51" t="s">
        <v>179</v>
      </c>
      <c r="J195" s="37" t="s">
        <v>314</v>
      </c>
      <c r="K195" s="31"/>
      <c r="L195" s="32"/>
      <c r="M195" s="33"/>
      <c r="N195" s="33"/>
      <c r="O195" s="34"/>
      <c r="P195" s="35"/>
      <c r="Q195" s="36"/>
      <c r="R195" s="33"/>
      <c r="S195" s="34"/>
    </row>
    <row r="196" spans="1:19">
      <c r="A196" s="30"/>
      <c r="B196" s="48"/>
      <c r="C196" s="49"/>
      <c r="D196" s="30"/>
      <c r="E196" s="48"/>
      <c r="F196" s="50"/>
      <c r="G196" s="49"/>
      <c r="H196" s="30">
        <v>31</v>
      </c>
      <c r="I196" s="51" t="s">
        <v>181</v>
      </c>
      <c r="J196" s="37" t="s">
        <v>315</v>
      </c>
      <c r="K196" s="31"/>
      <c r="L196" s="32"/>
      <c r="M196" s="33"/>
      <c r="N196" s="33"/>
      <c r="O196" s="34"/>
      <c r="P196" s="35"/>
      <c r="Q196" s="36"/>
      <c r="R196" s="33"/>
      <c r="S196" s="34"/>
    </row>
    <row r="197" spans="1:19">
      <c r="A197" s="30"/>
      <c r="B197" s="48"/>
      <c r="C197" s="49"/>
      <c r="D197" s="30"/>
      <c r="E197" s="48"/>
      <c r="F197" s="50"/>
      <c r="G197" s="49"/>
      <c r="H197" s="30">
        <v>32</v>
      </c>
      <c r="I197" s="51" t="s">
        <v>183</v>
      </c>
      <c r="J197" s="37" t="s">
        <v>316</v>
      </c>
      <c r="K197" s="31"/>
      <c r="L197" s="32"/>
      <c r="M197" s="33"/>
      <c r="N197" s="33"/>
      <c r="O197" s="34"/>
      <c r="P197" s="35"/>
      <c r="Q197" s="36"/>
      <c r="R197" s="33"/>
      <c r="S197" s="34"/>
    </row>
    <row r="198" spans="1:19">
      <c r="A198" s="30"/>
      <c r="B198" s="48"/>
      <c r="C198" s="49"/>
      <c r="D198" s="30"/>
      <c r="E198" s="48"/>
      <c r="F198" s="50"/>
      <c r="G198" s="49"/>
      <c r="H198" s="30">
        <v>33</v>
      </c>
      <c r="I198" s="51" t="s">
        <v>185</v>
      </c>
      <c r="J198" s="37" t="s">
        <v>317</v>
      </c>
      <c r="K198" s="31"/>
      <c r="L198" s="32"/>
      <c r="M198" s="33"/>
      <c r="N198" s="33"/>
      <c r="O198" s="34"/>
      <c r="P198" s="35"/>
      <c r="Q198" s="36"/>
      <c r="R198" s="33"/>
      <c r="S198" s="34"/>
    </row>
    <row r="199" spans="1:19">
      <c r="A199" s="30"/>
      <c r="B199" s="48"/>
      <c r="C199" s="49"/>
      <c r="D199" s="30"/>
      <c r="E199" s="48"/>
      <c r="F199" s="50"/>
      <c r="G199" s="49"/>
      <c r="H199" s="30">
        <v>34</v>
      </c>
      <c r="I199" s="51" t="s">
        <v>187</v>
      </c>
      <c r="J199" s="37" t="s">
        <v>318</v>
      </c>
      <c r="K199" s="31"/>
      <c r="L199" s="32"/>
      <c r="M199" s="33"/>
      <c r="N199" s="33"/>
      <c r="O199" s="34"/>
      <c r="P199" s="35"/>
      <c r="Q199" s="36"/>
      <c r="R199" s="33"/>
      <c r="S199" s="34"/>
    </row>
    <row r="200" spans="1:19">
      <c r="A200" s="30"/>
      <c r="B200" s="48"/>
      <c r="C200" s="49"/>
      <c r="D200" s="30"/>
      <c r="E200" s="48"/>
      <c r="F200" s="50"/>
      <c r="G200" s="49"/>
      <c r="H200" s="30">
        <v>35</v>
      </c>
      <c r="I200" s="51" t="s">
        <v>189</v>
      </c>
      <c r="J200" s="37" t="s">
        <v>319</v>
      </c>
      <c r="K200" s="31"/>
      <c r="L200" s="32"/>
      <c r="M200" s="33"/>
      <c r="N200" s="33"/>
      <c r="O200" s="34"/>
      <c r="P200" s="35"/>
      <c r="Q200" s="36"/>
      <c r="R200" s="33"/>
      <c r="S200" s="34"/>
    </row>
    <row r="201" spans="1:19">
      <c r="A201" s="30"/>
      <c r="B201" s="48"/>
      <c r="C201" s="49"/>
      <c r="D201" s="30"/>
      <c r="E201" s="48"/>
      <c r="F201" s="50"/>
      <c r="G201" s="49"/>
      <c r="H201" s="30">
        <v>36</v>
      </c>
      <c r="I201" s="51" t="s">
        <v>191</v>
      </c>
      <c r="J201" s="37" t="s">
        <v>320</v>
      </c>
      <c r="K201" s="31"/>
      <c r="L201" s="32"/>
      <c r="M201" s="33"/>
      <c r="N201" s="33"/>
      <c r="O201" s="34"/>
      <c r="P201" s="35"/>
      <c r="Q201" s="36"/>
      <c r="R201" s="33"/>
      <c r="S201" s="34"/>
    </row>
    <row r="202" spans="1:19">
      <c r="A202" s="30"/>
      <c r="B202" s="48"/>
      <c r="C202" s="49"/>
      <c r="D202" s="30"/>
      <c r="E202" s="48"/>
      <c r="F202" s="50"/>
      <c r="G202" s="49"/>
      <c r="H202" s="30">
        <v>37</v>
      </c>
      <c r="I202" s="51" t="s">
        <v>193</v>
      </c>
      <c r="J202" s="37" t="s">
        <v>321</v>
      </c>
      <c r="K202" s="31"/>
      <c r="L202" s="32"/>
      <c r="M202" s="33"/>
      <c r="N202" s="33"/>
      <c r="O202" s="34"/>
      <c r="P202" s="35"/>
      <c r="Q202" s="36"/>
      <c r="R202" s="33"/>
      <c r="S202" s="34"/>
    </row>
    <row r="203" spans="1:19">
      <c r="A203" s="30"/>
      <c r="B203" s="48"/>
      <c r="C203" s="49"/>
      <c r="D203" s="30"/>
      <c r="E203" s="48"/>
      <c r="F203" s="50"/>
      <c r="G203" s="49"/>
      <c r="H203" s="30">
        <v>38</v>
      </c>
      <c r="I203" s="51" t="s">
        <v>194</v>
      </c>
      <c r="J203" s="37" t="s">
        <v>322</v>
      </c>
      <c r="K203" s="31"/>
      <c r="L203" s="32"/>
      <c r="M203" s="33"/>
      <c r="N203" s="33"/>
      <c r="O203" s="34"/>
      <c r="P203" s="35"/>
      <c r="Q203" s="36"/>
      <c r="R203" s="33"/>
      <c r="S203" s="34"/>
    </row>
    <row r="204" spans="1:19">
      <c r="A204" s="30"/>
      <c r="B204" s="48"/>
      <c r="C204" s="49"/>
      <c r="D204" s="30"/>
      <c r="E204" s="48"/>
      <c r="F204" s="50"/>
      <c r="G204" s="49"/>
      <c r="H204" s="30">
        <v>39</v>
      </c>
      <c r="I204" s="51" t="s">
        <v>56</v>
      </c>
      <c r="J204" s="37" t="s">
        <v>323</v>
      </c>
      <c r="K204" s="31"/>
      <c r="L204" s="32"/>
      <c r="M204" s="33"/>
      <c r="N204" s="33"/>
      <c r="O204" s="34"/>
      <c r="P204" s="35"/>
      <c r="Q204" s="36"/>
      <c r="R204" s="33"/>
      <c r="S204" s="34"/>
    </row>
    <row r="205" spans="1:19">
      <c r="A205" s="30"/>
      <c r="B205" s="48"/>
      <c r="C205" s="49"/>
      <c r="D205" s="30"/>
      <c r="E205" s="48"/>
      <c r="F205" s="50"/>
      <c r="G205" s="49"/>
      <c r="H205" s="30">
        <v>40</v>
      </c>
      <c r="I205" s="51" t="s">
        <v>58</v>
      </c>
      <c r="J205" s="37" t="s">
        <v>324</v>
      </c>
      <c r="K205" s="31"/>
      <c r="L205" s="32"/>
      <c r="M205" s="33"/>
      <c r="N205" s="33"/>
      <c r="O205" s="34"/>
      <c r="P205" s="35"/>
      <c r="Q205" s="36"/>
      <c r="R205" s="33"/>
      <c r="S205" s="34"/>
    </row>
    <row r="206" spans="1:19">
      <c r="A206" s="30"/>
      <c r="B206" s="48"/>
      <c r="C206" s="49"/>
      <c r="D206" s="30"/>
      <c r="E206" s="48"/>
      <c r="F206" s="50"/>
      <c r="G206" s="49"/>
      <c r="H206" s="30">
        <v>41</v>
      </c>
      <c r="I206" s="51" t="s">
        <v>60</v>
      </c>
      <c r="J206" s="37" t="s">
        <v>325</v>
      </c>
      <c r="K206" s="31"/>
      <c r="L206" s="32"/>
      <c r="M206" s="33"/>
      <c r="N206" s="33"/>
      <c r="O206" s="34"/>
      <c r="P206" s="35"/>
      <c r="Q206" s="36"/>
      <c r="R206" s="33"/>
      <c r="S206" s="34"/>
    </row>
    <row r="207" spans="1:19">
      <c r="A207" s="30"/>
      <c r="B207" s="48"/>
      <c r="C207" s="49"/>
      <c r="D207" s="30"/>
      <c r="E207" s="48"/>
      <c r="F207" s="50"/>
      <c r="G207" s="49"/>
      <c r="H207" s="30">
        <v>42</v>
      </c>
      <c r="I207" s="51" t="s">
        <v>62</v>
      </c>
      <c r="J207" s="37" t="s">
        <v>326</v>
      </c>
      <c r="K207" s="31"/>
      <c r="L207" s="32"/>
      <c r="M207" s="33"/>
      <c r="N207" s="33"/>
      <c r="O207" s="34"/>
      <c r="P207" s="35"/>
      <c r="Q207" s="36"/>
      <c r="R207" s="33"/>
      <c r="S207" s="34"/>
    </row>
    <row r="208" spans="1:19">
      <c r="A208" s="30"/>
      <c r="B208" s="48"/>
      <c r="C208" s="49"/>
      <c r="D208" s="30"/>
      <c r="E208" s="48"/>
      <c r="F208" s="50"/>
      <c r="G208" s="49"/>
      <c r="H208" s="30">
        <v>43</v>
      </c>
      <c r="I208" s="51" t="s">
        <v>64</v>
      </c>
      <c r="J208" s="37" t="s">
        <v>327</v>
      </c>
      <c r="K208" s="31"/>
      <c r="L208" s="32"/>
      <c r="M208" s="33"/>
      <c r="N208" s="33"/>
      <c r="O208" s="34"/>
      <c r="P208" s="35"/>
      <c r="Q208" s="36"/>
      <c r="R208" s="33"/>
      <c r="S208" s="34"/>
    </row>
    <row r="209" spans="1:19">
      <c r="A209" s="30"/>
      <c r="B209" s="48"/>
      <c r="C209" s="49"/>
      <c r="D209" s="30"/>
      <c r="E209" s="48"/>
      <c r="F209" s="50"/>
      <c r="G209" s="49"/>
      <c r="H209" s="30">
        <v>44</v>
      </c>
      <c r="I209" s="51" t="s">
        <v>66</v>
      </c>
      <c r="J209" s="37" t="s">
        <v>328</v>
      </c>
      <c r="K209" s="31"/>
      <c r="L209" s="32"/>
      <c r="M209" s="33"/>
      <c r="N209" s="33"/>
      <c r="O209" s="34"/>
      <c r="P209" s="35"/>
      <c r="Q209" s="36"/>
      <c r="R209" s="33"/>
      <c r="S209" s="34"/>
    </row>
    <row r="210" spans="1:19">
      <c r="A210" s="30"/>
      <c r="B210" s="48"/>
      <c r="C210" s="49"/>
      <c r="D210" s="30"/>
      <c r="E210" s="48"/>
      <c r="F210" s="50"/>
      <c r="G210" s="49"/>
      <c r="H210" s="30">
        <v>45</v>
      </c>
      <c r="I210" s="51" t="s">
        <v>68</v>
      </c>
      <c r="J210" s="37" t="s">
        <v>329</v>
      </c>
      <c r="K210" s="31"/>
      <c r="L210" s="32"/>
      <c r="M210" s="33"/>
      <c r="N210" s="33"/>
      <c r="O210" s="34"/>
      <c r="P210" s="35"/>
      <c r="Q210" s="36"/>
      <c r="R210" s="33"/>
      <c r="S210" s="34"/>
    </row>
    <row r="211" spans="1:19" ht="31.5" customHeight="1">
      <c r="A211" s="38"/>
      <c r="B211" s="78"/>
      <c r="C211" s="79"/>
      <c r="D211" s="38"/>
      <c r="E211" s="78"/>
      <c r="F211" s="80"/>
      <c r="G211" s="79"/>
      <c r="H211" s="38"/>
      <c r="I211" s="46"/>
      <c r="J211" s="39"/>
      <c r="K211" s="40"/>
      <c r="L211" s="41"/>
      <c r="M211" s="42"/>
      <c r="N211" s="42"/>
      <c r="O211" s="43"/>
      <c r="P211" s="44"/>
      <c r="Q211" s="45"/>
      <c r="R211" s="42"/>
      <c r="S211" s="43"/>
    </row>
    <row r="214" spans="1:19">
      <c r="J214" s="8">
        <f>COUNTA(J6:J211)</f>
        <v>205</v>
      </c>
      <c r="L214" s="8" t="s">
        <v>101</v>
      </c>
      <c r="M214" s="8">
        <f>COUNTIF($M$6:$M$211,L214)</f>
        <v>0</v>
      </c>
    </row>
    <row r="215" spans="1:19">
      <c r="L215" s="8" t="s">
        <v>102</v>
      </c>
      <c r="M215" s="8">
        <f>COUNTIF($M$6:$M$211,L215)</f>
        <v>0</v>
      </c>
    </row>
    <row r="216" spans="1:19">
      <c r="L216" s="8" t="s">
        <v>103</v>
      </c>
      <c r="M216" s="8">
        <f>J214-(M214+M215)</f>
        <v>205</v>
      </c>
    </row>
  </sheetData>
  <mergeCells count="38">
    <mergeCell ref="B211:C211"/>
    <mergeCell ref="E211:G211"/>
    <mergeCell ref="B164:C164"/>
    <mergeCell ref="B108:C108"/>
    <mergeCell ref="E108:G108"/>
    <mergeCell ref="E164:G164"/>
    <mergeCell ref="E165:G165"/>
    <mergeCell ref="B110:C110"/>
    <mergeCell ref="E110:G110"/>
    <mergeCell ref="E111:G111"/>
    <mergeCell ref="E117:G117"/>
    <mergeCell ref="E163:G163"/>
    <mergeCell ref="B61:C61"/>
    <mergeCell ref="E61:G61"/>
    <mergeCell ref="E62:G62"/>
    <mergeCell ref="B109:C109"/>
    <mergeCell ref="E109:G109"/>
    <mergeCell ref="B7:C7"/>
    <mergeCell ref="E7:G7"/>
    <mergeCell ref="E8:G8"/>
    <mergeCell ref="E14:G14"/>
    <mergeCell ref="E60:G60"/>
    <mergeCell ref="R3:S3"/>
    <mergeCell ref="B6:C6"/>
    <mergeCell ref="E6:G6"/>
    <mergeCell ref="A1:B1"/>
    <mergeCell ref="E1:F1"/>
    <mergeCell ref="G1:I1"/>
    <mergeCell ref="P1:Q1"/>
    <mergeCell ref="R1:S1"/>
    <mergeCell ref="A2:B2"/>
    <mergeCell ref="E2:F3"/>
    <mergeCell ref="G2:I2"/>
    <mergeCell ref="P2:Q2"/>
    <mergeCell ref="R2:S2"/>
    <mergeCell ref="A3:B3"/>
    <mergeCell ref="G3:I3"/>
    <mergeCell ref="P3:Q3"/>
  </mergeCells>
  <phoneticPr fontId="1"/>
  <dataValidations count="3">
    <dataValidation imeMode="off" allowBlank="1" showInputMessage="1" showErrorMessage="1" sqref="R1:S3 O6:O211 S6:S211 K6:L211" xr:uid="{427A3C86-447C-4330-83BC-28C5126C8DCB}"/>
    <dataValidation type="list" allowBlank="1" showInputMessage="1" showErrorMessage="1" sqref="M6:M211" xr:uid="{F0BAA42C-9CEA-4E1E-A6F7-829D93A0E9D5}">
      <formula1>"合格,不合格"</formula1>
    </dataValidation>
    <dataValidation imeMode="off" allowBlank="1" showInputMessage="1" showErrorMessage="1" prompt="集計ツールを使用する場合、テストケースNoは、英数字で入力してください" sqref="H6:H211 D6:D211 A6:A211" xr:uid="{BA4C84E7-6FE8-4756-A0AB-E689ACBDD69C}"/>
  </dataValidations>
  <printOptions horizontalCentered="1"/>
  <pageMargins left="0.39370078740157483" right="0.39370078740157483" top="0.78740157480314965" bottom="0.59055118110236227" header="0.39370078740157483" footer="0.39370078740157483"/>
  <pageSetup paperSize="9" scale="72" fitToHeight="0" orientation="landscape" r:id="rId1"/>
  <headerFooter alignWithMargins="0">
    <oddHeader>&amp;R&amp;U関係者外秘
【○○限り】&amp;11&amp;U
&amp;A  &amp;P / &amp;N ﾍﾟｰｼﾞ</oddHeader>
    <oddFooter>&amp;L&amp;"ＭＳ Ｐ明朝,標準"Copyright(c) 2006-2007 TIS Inc.&amp;C&amp;"ＭＳ Ｐ明朝,標準"&amp;P&amp;R&amp;"ＭＳ Ｐ明朝,標準"TIS標準プロセス様式　IZ323　Ver1.0.2</oddFooter>
  </headerFooter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caee9ae-ac4c-4a91-bf2f-c539f84f9d4e" xsi:nil="true"/>
    <lcf76f155ced4ddcb4097134ff3c332f xmlns="991e4cd9-443b-4484-87b4-0c84d1f9a0a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DED403E58C3CD44B28DB1F9FE2395C3" ma:contentTypeVersion="11" ma:contentTypeDescription="新しいドキュメントを作成します。" ma:contentTypeScope="" ma:versionID="28a1a67f5313b82695249cca5464319f">
  <xsd:schema xmlns:xsd="http://www.w3.org/2001/XMLSchema" xmlns:xs="http://www.w3.org/2001/XMLSchema" xmlns:p="http://schemas.microsoft.com/office/2006/metadata/properties" xmlns:ns2="991e4cd9-443b-4484-87b4-0c84d1f9a0ac" xmlns:ns3="8caee9ae-ac4c-4a91-bf2f-c539f84f9d4e" targetNamespace="http://schemas.microsoft.com/office/2006/metadata/properties" ma:root="true" ma:fieldsID="3cc695844608fe39e760623074686949" ns2:_="" ns3:_="">
    <xsd:import namespace="991e4cd9-443b-4484-87b4-0c84d1f9a0ac"/>
    <xsd:import namespace="8caee9ae-ac4c-4a91-bf2f-c539f84f9d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1e4cd9-443b-4484-87b4-0c84d1f9a0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e33717ea-bcde-468e-bdb9-e6e0ac66972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aee9ae-ac4c-4a91-bf2f-c539f84f9d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976dcc6-1276-4d94-b9f5-17d73966a0b9}" ma:internalName="TaxCatchAll" ma:showField="CatchAllData" ma:web="8caee9ae-ac4c-4a91-bf2f-c539f84f9d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1E623F-B127-4777-BA82-6CF058B03372}"/>
</file>

<file path=customXml/itemProps2.xml><?xml version="1.0" encoding="utf-8"?>
<ds:datastoreItem xmlns:ds="http://schemas.openxmlformats.org/officeDocument/2006/customXml" ds:itemID="{11F0DB7B-6300-4AD0-9702-0309954C9384}"/>
</file>

<file path=customXml/itemProps3.xml><?xml version="1.0" encoding="utf-8"?>
<ds:datastoreItem xmlns:ds="http://schemas.openxmlformats.org/officeDocument/2006/customXml" ds:itemID="{5DFE76D1-1C80-4DBB-B5E5-1A118C3732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TIS株式会社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IZ323テスト仕様書（テストケース）</dc:title>
  <dc:subject/>
  <dc:creator>技術本部 生産技術部</dc:creator>
  <cp:keywords/>
  <dc:description/>
  <cp:lastModifiedBy/>
  <cp:revision>1</cp:revision>
  <dcterms:created xsi:type="dcterms:W3CDTF">2004-02-12T02:02:19Z</dcterms:created>
  <dcterms:modified xsi:type="dcterms:W3CDTF">2026-07-07T02:33:30Z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0x0101008DED403E58C3CD44B28DB1F9FE2395C3</vt:lpwstr>
  </property>
  <property fmtid="{D5CDD505-2E9C-101B-9397-08002B2CF9AE}" pid="3" name="MediaServiceImageTags">
    <vt:lpwstr/>
  </property>
</Properties>
</file>