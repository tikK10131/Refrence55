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tikK10131\Downloads\"/>
    </mc:Choice>
  </mc:AlternateContent>
  <xr:revisionPtr revIDLastSave="0" documentId="13_ncr:1_{081DDC22-D4EA-48F8-9B40-80BB77C6569D}" xr6:coauthVersionLast="47" xr6:coauthVersionMax="47" xr10:uidLastSave="{00000000-0000-0000-0000-000000000000}"/>
  <bookViews>
    <workbookView xWindow="3195" yWindow="3195" windowWidth="21600" windowHeight="11295" xr2:uid="{00000000-000D-0000-FFFF-FFFF00000000}"/>
  </bookViews>
  <sheets>
    <sheet name="me" sheetId="17" r:id="rId1"/>
  </sheets>
  <definedNames>
    <definedName name="_xlnm._FilterDatabase" localSheetId="0" hidden="1">me!$A$5:$S$50</definedName>
    <definedName name="_xlnm.Print_Area" localSheetId="0">me!$A$1:$S$5</definedName>
    <definedName name="_xlnm.Print_Titles" localSheetId="0">me!$1:$5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4" i="17" l="1"/>
  <c r="M53" i="17"/>
  <c r="J53" i="17"/>
  <c r="M5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1EFB90ED-E8B9-4089-B7A6-A92B3B04B3CC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9F501404-5217-481C-8B44-98F22042DFDB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C615DDDF-43D7-43FE-A8F7-81776D565572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5BFC166F-F87D-4DD3-ABED-0070B090713A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284E31A4-D9A8-4A98-9B7B-BDB09937FB31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A244050-612E-425C-BAB2-84C47225F1B2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sharedStrings.xml><?xml version="1.0" encoding="utf-8"?>
<sst xmlns="http://schemas.openxmlformats.org/spreadsheetml/2006/main" count="137" uniqueCount="77">
  <si>
    <t>PJ名</t>
  </si>
  <si>
    <t>PoC版開発</t>
    <rPh sb="3" eb="4">
      <t>バン</t>
    </rPh>
    <rPh sb="4" eb="6">
      <t>カイハツ</t>
    </rPh>
    <phoneticPr fontId="1"/>
  </si>
  <si>
    <t>工程</t>
  </si>
  <si>
    <t>API単体テスト</t>
    <rPh sb="3" eb="5">
      <t>タンタイ</t>
    </rPh>
    <phoneticPr fontId="1"/>
  </si>
  <si>
    <t>作成</t>
  </si>
  <si>
    <t>安田　晋</t>
    <rPh sb="0" eb="2">
      <t>ヤスダ</t>
    </rPh>
    <rPh sb="3" eb="4">
      <t>ススム</t>
    </rPh>
    <phoneticPr fontId="1"/>
  </si>
  <si>
    <t>区分</t>
  </si>
  <si>
    <t>成果物名</t>
  </si>
  <si>
    <t>(me)APIテスト仕様書 第0.0.1版</t>
    <rPh sb="10" eb="12">
      <t>シヨウ</t>
    </rPh>
    <phoneticPr fontId="1"/>
  </si>
  <si>
    <t>変更</t>
  </si>
  <si>
    <t>/  /</t>
  </si>
  <si>
    <t>システム名</t>
  </si>
  <si>
    <t>VRビューワーシステム</t>
    <phoneticPr fontId="1"/>
  </si>
  <si>
    <t>確認</t>
  </si>
  <si>
    <t>IZ323テスト仕様書(テストケース)：集計ツールV2.0対応</t>
    <rPh sb="8" eb="10">
      <t>シヨウ</t>
    </rPh>
    <phoneticPr fontId="1"/>
  </si>
  <si>
    <t>No.</t>
  </si>
  <si>
    <t>大項目名</t>
  </si>
  <si>
    <t>中項目名</t>
  </si>
  <si>
    <t>小項目（実施内容）</t>
    <phoneticPr fontId="1"/>
  </si>
  <si>
    <t>合格条件</t>
  </si>
  <si>
    <t>実施
予定日</t>
    <phoneticPr fontId="1"/>
  </si>
  <si>
    <t>実施日</t>
  </si>
  <si>
    <t>結果</t>
  </si>
  <si>
    <t>実施者</t>
  </si>
  <si>
    <t>完了日</t>
  </si>
  <si>
    <t>補足</t>
  </si>
  <si>
    <t>不具合票
番号</t>
    <phoneticPr fontId="1"/>
  </si>
  <si>
    <t>確認者</t>
  </si>
  <si>
    <t>確認日</t>
  </si>
  <si>
    <t>詳細取得
（ADMIN01）</t>
    <phoneticPr fontId="1"/>
  </si>
  <si>
    <t>認証トークン</t>
    <phoneticPr fontId="1"/>
  </si>
  <si>
    <t>トークン無し</t>
    <rPh sb="4" eb="5">
      <t>ナ</t>
    </rPh>
    <phoneticPr fontId="1"/>
  </si>
  <si>
    <t>以下レスポンスが返ってくる
{
  "success": false,
  "error_code": "invalid_token",
  "message": "認証情報が不正です",
  "errors": null,
  "data": null
}</t>
    <rPh sb="0" eb="2">
      <t>イカ</t>
    </rPh>
    <rPh sb="8" eb="9">
      <t>カエ</t>
    </rPh>
    <phoneticPr fontId="1"/>
  </si>
  <si>
    <t>不正なトークンを送信</t>
    <rPh sb="0" eb="2">
      <t>フセイ</t>
    </rPh>
    <rPh sb="8" eb="10">
      <t>ソウシン</t>
    </rPh>
    <phoneticPr fontId="1"/>
  </si>
  <si>
    <t>正しいリクエストトークンを送信</t>
    <rPh sb="0" eb="1">
      <t>タダ</t>
    </rPh>
    <rPh sb="13" eb="15">
      <t>ソウシン</t>
    </rPh>
    <phoneticPr fontId="1"/>
  </si>
  <si>
    <t>正常にユーザ情報が返ってくる</t>
    <rPh sb="0" eb="2">
      <t>セイジョウ</t>
    </rPh>
    <rPh sb="6" eb="8">
      <t>ジョウホウ</t>
    </rPh>
    <rPh sb="9" eb="10">
      <t>カエ</t>
    </rPh>
    <phoneticPr fontId="1"/>
  </si>
  <si>
    <t>正しいリフレッシュトークンを送信</t>
    <rPh sb="0" eb="1">
      <t>タダ</t>
    </rPh>
    <rPh sb="14" eb="16">
      <t>ソウシン</t>
    </rPh>
    <phoneticPr fontId="1"/>
  </si>
  <si>
    <t>レスポンスパラメータ</t>
    <phoneticPr fontId="1"/>
  </si>
  <si>
    <t>user_id</t>
  </si>
  <si>
    <t>Keycloakユーザ識別子との差異が無いことを確認</t>
    <rPh sb="11" eb="14">
      <t>シキベツシ</t>
    </rPh>
    <rPh sb="16" eb="18">
      <t>サイ</t>
    </rPh>
    <rPh sb="19" eb="20">
      <t>ナ</t>
    </rPh>
    <rPh sb="24" eb="26">
      <t>カクニン</t>
    </rPh>
    <phoneticPr fontId="1"/>
  </si>
  <si>
    <t>login_id</t>
  </si>
  <si>
    <t>ADMIN01</t>
    <phoneticPr fontId="1"/>
  </si>
  <si>
    <t>user_name</t>
  </si>
  <si>
    <t>システム管理者</t>
    <rPh sb="4" eb="7">
      <t>カンリシャ</t>
    </rPh>
    <phoneticPr fontId="1"/>
  </si>
  <si>
    <t>roles</t>
  </si>
  <si>
    <t>SYS_ADMIN</t>
    <phoneticPr fontId="1"/>
  </si>
  <si>
    <t>can_use_admin_mode</t>
  </si>
  <si>
    <t>created_at</t>
  </si>
  <si>
    <t>DBのデータ作成日時との差異が無いことを確認</t>
    <rPh sb="6" eb="10">
      <t>サクセイニチジ</t>
    </rPh>
    <rPh sb="12" eb="14">
      <t>サイ</t>
    </rPh>
    <rPh sb="15" eb="16">
      <t>ナ</t>
    </rPh>
    <rPh sb="20" eb="22">
      <t>カクニン</t>
    </rPh>
    <phoneticPr fontId="1"/>
  </si>
  <si>
    <t>updated_at</t>
  </si>
  <si>
    <t>DBのデータ更新日時との差異が無いことを確認</t>
    <rPh sb="6" eb="8">
      <t>コウシン</t>
    </rPh>
    <rPh sb="8" eb="10">
      <t>ニチジ</t>
    </rPh>
    <rPh sb="12" eb="14">
      <t>サイ</t>
    </rPh>
    <rPh sb="20" eb="22">
      <t>カクニン</t>
    </rPh>
    <phoneticPr fontId="1"/>
  </si>
  <si>
    <t>連続同一リクエスト送信</t>
    <rPh sb="0" eb="2">
      <t>レンゾク</t>
    </rPh>
    <rPh sb="2" eb="4">
      <t>ドウイツ</t>
    </rPh>
    <rPh sb="9" eb="11">
      <t>ソウシン</t>
    </rPh>
    <phoneticPr fontId="1"/>
  </si>
  <si>
    <t>レスポンス内容</t>
    <rPh sb="5" eb="7">
      <t>ナイヨウ</t>
    </rPh>
    <phoneticPr fontId="1"/>
  </si>
  <si>
    <t>常に同じレスポンスが返ってくる</t>
    <rPh sb="0" eb="1">
      <t>ツネ</t>
    </rPh>
    <rPh sb="2" eb="3">
      <t>オナ</t>
    </rPh>
    <rPh sb="10" eb="11">
      <t>カエ</t>
    </rPh>
    <phoneticPr fontId="1"/>
  </si>
  <si>
    <t>ログインユーザがADMIN01ではない場合</t>
    <rPh sb="19" eb="21">
      <t>バアイ</t>
    </rPh>
    <phoneticPr fontId="1"/>
  </si>
  <si>
    <t>エラーレスポンスが返ってくる</t>
    <rPh sb="9" eb="10">
      <t>カエ</t>
    </rPh>
    <phoneticPr fontId="1"/>
  </si>
  <si>
    <t>詳細取得
（ADMIN02）</t>
    <phoneticPr fontId="1"/>
  </si>
  <si>
    <t>ADMIN02</t>
    <phoneticPr fontId="1"/>
  </si>
  <si>
    <t>マスター管理者</t>
    <phoneticPr fontId="1"/>
  </si>
  <si>
    <t>SYS_MASTER</t>
    <phoneticPr fontId="1"/>
  </si>
  <si>
    <t>ログインユーザがADMIN02ではない場合</t>
    <rPh sb="19" eb="21">
      <t>バアイ</t>
    </rPh>
    <phoneticPr fontId="1"/>
  </si>
  <si>
    <t>詳細取得
（PJMGR01）</t>
    <phoneticPr fontId="1"/>
  </si>
  <si>
    <t>PJMGR01</t>
    <phoneticPr fontId="1"/>
  </si>
  <si>
    <t>ユーザ３</t>
    <phoneticPr fontId="1"/>
  </si>
  <si>
    <t>[
    ”R_PJMGR01"
}</t>
    <phoneticPr fontId="1"/>
  </si>
  <si>
    <t>ログインユーザがUSER03ではない場合</t>
    <rPh sb="18" eb="20">
      <t>バアイ</t>
    </rPh>
    <phoneticPr fontId="1"/>
  </si>
  <si>
    <t>詳細取得
（USER03）</t>
    <phoneticPr fontId="1"/>
  </si>
  <si>
    <t>USER03</t>
    <phoneticPr fontId="1"/>
  </si>
  <si>
    <t>[
    ”R_USER03",
    "R_USER02"
}</t>
    <phoneticPr fontId="1"/>
  </si>
  <si>
    <t>PROXYキャッシュの影響確認</t>
    <rPh sb="11" eb="13">
      <t>エイキョウ</t>
    </rPh>
    <rPh sb="13" eb="15">
      <t>カクニン</t>
    </rPh>
    <phoneticPr fontId="1"/>
  </si>
  <si>
    <t>ユーザ名を異なる名称に変更</t>
    <rPh sb="3" eb="4">
      <t>メイ</t>
    </rPh>
    <rPh sb="5" eb="6">
      <t>コト</t>
    </rPh>
    <rPh sb="8" eb="10">
      <t>メイショウ</t>
    </rPh>
    <rPh sb="11" eb="13">
      <t>ヘンコウ</t>
    </rPh>
    <phoneticPr fontId="1"/>
  </si>
  <si>
    <t>GETリクエストを送信</t>
    <rPh sb="9" eb="11">
      <t>ソウシン</t>
    </rPh>
    <phoneticPr fontId="1"/>
  </si>
  <si>
    <t>変更した内容でレスポンスが返ってくる</t>
    <rPh sb="0" eb="2">
      <t>ヘンコウ</t>
    </rPh>
    <rPh sb="4" eb="6">
      <t>ナイヨウ</t>
    </rPh>
    <rPh sb="13" eb="14">
      <t>カエ</t>
    </rPh>
    <phoneticPr fontId="1"/>
  </si>
  <si>
    <t>ログインユーザとは異なるユーザのGETリクエストを送信</t>
    <rPh sb="9" eb="10">
      <t>コト</t>
    </rPh>
    <rPh sb="25" eb="27">
      <t>ソウシン</t>
    </rPh>
    <phoneticPr fontId="1"/>
  </si>
  <si>
    <t>合格</t>
    <rPh sb="0" eb="2">
      <t>ゴウカク</t>
    </rPh>
    <phoneticPr fontId="1"/>
  </si>
  <si>
    <t>不合格</t>
    <rPh sb="0" eb="3">
      <t>フゴウカク</t>
    </rPh>
    <phoneticPr fontId="1"/>
  </si>
  <si>
    <t>未実施</t>
    <rPh sb="0" eb="3">
      <t>ミジッシ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</si>
</sst>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0_);[Red]\(0\)"/>
    <numFmt numFmtId="178" formatCode="0_ "/>
  </numFmts>
  <fonts count="14" x14ac:knownFonts="1"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indexed="12"/>
      <name val="ＭＳ Ｐゴシック"/>
      <family val="3"/>
      <charset val="128"/>
    </font>
    <font>
      <sz val="8"/>
      <color indexed="81"/>
      <name val="ＭＳ Ｐゴシック"/>
      <family val="3"/>
      <charset val="128"/>
    </font>
    <font>
      <u/>
      <sz val="8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メイリオ"/>
      <family val="2"/>
      <charset val="128"/>
    </font>
    <font>
      <sz val="10"/>
      <name val="游ゴシック Medium"/>
      <family val="3"/>
      <charset val="128"/>
    </font>
    <font>
      <sz val="9"/>
      <name val="游ゴシック Medium"/>
      <family val="3"/>
      <charset val="128"/>
    </font>
    <font>
      <u/>
      <sz val="10"/>
      <name val="游ゴシック Medium"/>
      <family val="3"/>
      <charset val="128"/>
    </font>
    <font>
      <sz val="6"/>
      <color indexed="9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7" fillId="0" borderId="0"/>
    <xf numFmtId="0" fontId="9" fillId="0" borderId="0">
      <alignment vertical="center"/>
    </xf>
  </cellStyleXfs>
  <cellXfs count="80">
    <xf numFmtId="0" fontId="0" fillId="0" borderId="0" xfId="0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/>
    <xf numFmtId="0" fontId="10" fillId="0" borderId="6" xfId="0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vertical="center"/>
    </xf>
    <xf numFmtId="176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177" fontId="10" fillId="3" borderId="14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176" fontId="10" fillId="3" borderId="19" xfId="0" applyNumberFormat="1" applyFont="1" applyFill="1" applyBorder="1" applyAlignment="1">
      <alignment horizontal="center" vertical="center" wrapText="1"/>
    </xf>
    <xf numFmtId="176" fontId="10" fillId="3" borderId="21" xfId="0" applyNumberFormat="1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Continuous" vertical="center" wrapText="1"/>
    </xf>
    <xf numFmtId="0" fontId="10" fillId="3" borderId="20" xfId="0" applyFont="1" applyFill="1" applyBorder="1" applyAlignment="1">
      <alignment horizontal="centerContinuous" vertical="center"/>
    </xf>
    <xf numFmtId="178" fontId="11" fillId="0" borderId="10" xfId="0" applyNumberFormat="1" applyFont="1" applyBorder="1" applyAlignment="1">
      <alignment vertical="center" shrinkToFit="1"/>
    </xf>
    <xf numFmtId="176" fontId="11" fillId="0" borderId="12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shrinkToFit="1"/>
    </xf>
    <xf numFmtId="176" fontId="11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1" fillId="0" borderId="9" xfId="0" applyFont="1" applyBorder="1" applyAlignment="1">
      <alignment vertical="center" shrinkToFit="1"/>
    </xf>
    <xf numFmtId="0" fontId="11" fillId="0" borderId="28" xfId="0" applyFont="1" applyBorder="1" applyAlignment="1">
      <alignment vertical="center" wrapText="1"/>
    </xf>
    <xf numFmtId="178" fontId="11" fillId="0" borderId="30" xfId="0" applyNumberFormat="1" applyFont="1" applyBorder="1" applyAlignment="1">
      <alignment vertical="center" shrinkToFit="1"/>
    </xf>
    <xf numFmtId="0" fontId="11" fillId="0" borderId="34" xfId="0" applyFont="1" applyBorder="1" applyAlignment="1">
      <alignment vertical="center" wrapText="1"/>
    </xf>
    <xf numFmtId="176" fontId="11" fillId="0" borderId="35" xfId="0" applyNumberFormat="1" applyFont="1" applyBorder="1" applyAlignment="1">
      <alignment horizontal="center" vertical="center"/>
    </xf>
    <xf numFmtId="176" fontId="11" fillId="0" borderId="36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shrinkToFit="1"/>
    </xf>
    <xf numFmtId="176" fontId="11" fillId="0" borderId="29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vertical="center" wrapText="1"/>
    </xf>
    <xf numFmtId="0" fontId="11" fillId="0" borderId="29" xfId="0" applyFont="1" applyBorder="1" applyAlignment="1">
      <alignment vertical="center" shrinkToFit="1"/>
    </xf>
    <xf numFmtId="0" fontId="11" fillId="0" borderId="3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38" xfId="0" applyFont="1" applyBorder="1" applyAlignment="1">
      <alignment vertical="center"/>
    </xf>
    <xf numFmtId="0" fontId="11" fillId="0" borderId="38" xfId="0" applyFont="1" applyBorder="1" applyAlignment="1">
      <alignment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4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7" xfId="0" applyFont="1" applyBorder="1" applyAlignment="1">
      <alignment vertical="center"/>
    </xf>
  </cellXfs>
  <cellStyles count="5">
    <cellStyle name="標準" xfId="0" builtinId="0"/>
    <cellStyle name="標準 2" xfId="1" xr:uid="{00000000-0005-0000-0000-000001000000}"/>
    <cellStyle name="標準 3" xfId="2" xr:uid="{23DC4711-2AD6-41B3-817F-C351B710E017}"/>
    <cellStyle name="標準 4" xfId="3" xr:uid="{B3914B1C-A4ED-4620-B9B6-E2452ECF1E97}"/>
    <cellStyle name="標準 5" xfId="4" xr:uid="{70912ECD-52FB-4C0B-B64B-13022BC1D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150495</xdr:colOff>
      <xdr:row>0</xdr:row>
      <xdr:rowOff>114300</xdr:rowOff>
    </xdr:from>
    <xdr:to>
      <xdr:col>27</xdr:col>
      <xdr:colOff>320040</xdr:colOff>
      <xdr:row>3</xdr:row>
      <xdr:rowOff>133350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45932611-FC33-44F5-87D8-1DB30CAC8800}"/>
            </a:ext>
          </a:extLst>
        </xdr:cNvPr>
        <xdr:cNvSpPr txBox="1">
          <a:spLocks noChangeArrowheads="1"/>
        </xdr:cNvSpPr>
      </xdr:nvSpPr>
      <xdr:spPr bwMode="auto">
        <a:xfrm>
          <a:off x="15600045" y="114300"/>
          <a:ext cx="4745355" cy="643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two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4A6A7799-1C93-4341-BF46-1C8CC71F489D}"/>
            </a:ext>
          </a:extLst>
        </xdr:cNvPr>
        <xdr:cNvSpPr>
          <a:spLocks noChangeArrowheads="1"/>
        </xdr:cNvSpPr>
      </xdr:nvSpPr>
      <xdr:spPr bwMode="auto">
        <a:xfrm>
          <a:off x="139065" y="847725"/>
          <a:ext cx="72602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22DF3C9E-3E7F-4BDE-868C-F78791B23D7F}"/>
            </a:ext>
          </a:extLst>
        </xdr:cNvPr>
        <xdr:cNvSpPr>
          <a:spLocks noChangeArrowheads="1"/>
        </xdr:cNvSpPr>
      </xdr:nvSpPr>
      <xdr:spPr bwMode="auto">
        <a:xfrm>
          <a:off x="1891665" y="859155"/>
          <a:ext cx="85725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B95E9D35-4B99-4A56-BBEF-6B59565FB1EB}"/>
            </a:ext>
          </a:extLst>
        </xdr:cNvPr>
        <xdr:cNvSpPr>
          <a:spLocks noChangeArrowheads="1"/>
        </xdr:cNvSpPr>
      </xdr:nvSpPr>
      <xdr:spPr bwMode="auto">
        <a:xfrm>
          <a:off x="3714750" y="85915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5204528D-9BE7-48CF-A5E1-D336F16786F4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47C44809-AAB5-A2C2-BD29-7571C18E5F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637AE310-6FCA-6659-BE5D-7E0BEACEDEF8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7A767AE0-BC6B-4531-8E2E-759A5B469BF4}"/>
            </a:ext>
          </a:extLst>
        </xdr:cNvPr>
        <xdr:cNvSpPr>
          <a:spLocks noChangeArrowheads="1"/>
        </xdr:cNvSpPr>
      </xdr:nvSpPr>
      <xdr:spPr bwMode="auto">
        <a:xfrm>
          <a:off x="10102215" y="859155"/>
          <a:ext cx="72118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3E97-3118-4E55-90E1-2210478D8A55}">
  <sheetPr>
    <pageSetUpPr fitToPage="1"/>
  </sheetPr>
  <dimension ref="A1:S55"/>
  <sheetViews>
    <sheetView showGridLines="0" tabSelected="1" workbookViewId="0">
      <selection activeCell="I50" sqref="I50"/>
    </sheetView>
  </sheetViews>
  <sheetFormatPr defaultColWidth="9.33203125" defaultRowHeight="15.75" x14ac:dyDescent="0.35"/>
  <cols>
    <col min="1" max="1" width="4.83203125" style="8" customWidth="1"/>
    <col min="2" max="2" width="6.83203125" style="8" customWidth="1"/>
    <col min="3" max="3" width="16.83203125" style="8" customWidth="1"/>
    <col min="4" max="4" width="4.83203125" style="8" customWidth="1"/>
    <col min="5" max="6" width="5.83203125" style="8" customWidth="1"/>
    <col min="7" max="7" width="12.83203125" style="8" customWidth="1"/>
    <col min="8" max="8" width="4.83203125" style="8" customWidth="1"/>
    <col min="9" max="9" width="50.83203125" style="8" customWidth="1"/>
    <col min="10" max="10" width="49" style="8" customWidth="1"/>
    <col min="11" max="12" width="7.83203125" style="8" customWidth="1"/>
    <col min="13" max="13" width="7.33203125" style="8" customWidth="1"/>
    <col min="14" max="15" width="7.83203125" style="8" customWidth="1"/>
    <col min="16" max="16" width="29.5" style="8" customWidth="1"/>
    <col min="17" max="17" width="9.83203125" style="8" customWidth="1"/>
    <col min="18" max="19" width="7.83203125" style="8" customWidth="1"/>
    <col min="20" max="16384" width="9.33203125" style="8"/>
  </cols>
  <sheetData>
    <row r="1" spans="1:19" ht="16.5" x14ac:dyDescent="0.35">
      <c r="A1" s="67" t="s">
        <v>0</v>
      </c>
      <c r="B1" s="60"/>
      <c r="C1" s="1" t="s">
        <v>1</v>
      </c>
      <c r="D1" s="2"/>
      <c r="E1" s="68" t="s">
        <v>2</v>
      </c>
      <c r="F1" s="69"/>
      <c r="G1" s="59" t="s">
        <v>3</v>
      </c>
      <c r="H1" s="70"/>
      <c r="I1" s="60"/>
      <c r="J1" s="3"/>
      <c r="K1" s="4"/>
      <c r="L1" s="4"/>
      <c r="M1" s="5"/>
      <c r="N1" s="6"/>
      <c r="O1" s="7" t="s">
        <v>4</v>
      </c>
      <c r="P1" s="59" t="s">
        <v>5</v>
      </c>
      <c r="Q1" s="60"/>
      <c r="R1" s="61">
        <v>46153</v>
      </c>
      <c r="S1" s="62"/>
    </row>
    <row r="2" spans="1:19" ht="16.5" x14ac:dyDescent="0.35">
      <c r="A2" s="67" t="s">
        <v>6</v>
      </c>
      <c r="B2" s="60"/>
      <c r="C2" s="1"/>
      <c r="D2" s="2"/>
      <c r="E2" s="74" t="s">
        <v>7</v>
      </c>
      <c r="F2" s="75"/>
      <c r="G2" s="77" t="s">
        <v>8</v>
      </c>
      <c r="H2" s="78"/>
      <c r="I2" s="79"/>
      <c r="J2" s="9"/>
      <c r="K2" s="10"/>
      <c r="L2" s="10"/>
      <c r="M2" s="11"/>
      <c r="N2" s="12"/>
      <c r="O2" s="7" t="s">
        <v>9</v>
      </c>
      <c r="P2" s="59"/>
      <c r="Q2" s="60"/>
      <c r="R2" s="61" t="s">
        <v>10</v>
      </c>
      <c r="S2" s="62"/>
    </row>
    <row r="3" spans="1:19" ht="16.5" x14ac:dyDescent="0.35">
      <c r="A3" s="67" t="s">
        <v>11</v>
      </c>
      <c r="B3" s="60"/>
      <c r="C3" s="1" t="s">
        <v>12</v>
      </c>
      <c r="D3" s="2"/>
      <c r="E3" s="56"/>
      <c r="F3" s="76"/>
      <c r="G3" s="56"/>
      <c r="H3" s="57"/>
      <c r="I3" s="58"/>
      <c r="J3" s="13"/>
      <c r="K3" s="14"/>
      <c r="L3" s="14"/>
      <c r="M3" s="15"/>
      <c r="N3" s="16"/>
      <c r="O3" s="7" t="s">
        <v>13</v>
      </c>
      <c r="P3" s="59"/>
      <c r="Q3" s="60"/>
      <c r="R3" s="61" t="s">
        <v>10</v>
      </c>
      <c r="S3" s="62"/>
    </row>
    <row r="4" spans="1:19" x14ac:dyDescent="0.35">
      <c r="A4" s="17" t="s">
        <v>14</v>
      </c>
    </row>
    <row r="5" spans="1:19" ht="33.75" thickBot="1" x14ac:dyDescent="0.4">
      <c r="A5" s="18" t="s">
        <v>15</v>
      </c>
      <c r="B5" s="19" t="s">
        <v>16</v>
      </c>
      <c r="C5" s="20"/>
      <c r="D5" s="18" t="s">
        <v>15</v>
      </c>
      <c r="E5" s="19" t="s">
        <v>17</v>
      </c>
      <c r="F5" s="21"/>
      <c r="G5" s="20"/>
      <c r="H5" s="22" t="s">
        <v>15</v>
      </c>
      <c r="I5" s="23" t="s">
        <v>18</v>
      </c>
      <c r="J5" s="24" t="s">
        <v>19</v>
      </c>
      <c r="K5" s="25" t="s">
        <v>20</v>
      </c>
      <c r="L5" s="26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8" t="s">
        <v>26</v>
      </c>
      <c r="R5" s="29" t="s">
        <v>27</v>
      </c>
      <c r="S5" s="20" t="s">
        <v>28</v>
      </c>
    </row>
    <row r="6" spans="1:19" ht="126.75" thickTop="1" x14ac:dyDescent="0.35">
      <c r="A6" s="30">
        <v>1</v>
      </c>
      <c r="B6" s="54" t="s">
        <v>29</v>
      </c>
      <c r="C6" s="55"/>
      <c r="D6" s="30">
        <v>1</v>
      </c>
      <c r="E6" s="54" t="s">
        <v>30</v>
      </c>
      <c r="F6" s="63"/>
      <c r="G6" s="55"/>
      <c r="H6" s="30">
        <v>1</v>
      </c>
      <c r="I6" s="47" t="s">
        <v>31</v>
      </c>
      <c r="J6" s="37" t="s">
        <v>32</v>
      </c>
      <c r="K6" s="31"/>
      <c r="L6" s="32"/>
      <c r="M6" s="33"/>
      <c r="N6" s="33"/>
      <c r="O6" s="34"/>
      <c r="P6" s="35"/>
      <c r="Q6" s="36"/>
      <c r="R6" s="33"/>
      <c r="S6" s="34"/>
    </row>
    <row r="7" spans="1:19" ht="126" x14ac:dyDescent="0.35">
      <c r="A7" s="30"/>
      <c r="B7" s="54"/>
      <c r="C7" s="55"/>
      <c r="D7" s="30"/>
      <c r="E7" s="54"/>
      <c r="F7" s="63"/>
      <c r="G7" s="55"/>
      <c r="H7" s="30">
        <v>2</v>
      </c>
      <c r="I7" s="51" t="s">
        <v>33</v>
      </c>
      <c r="J7" s="37" t="s">
        <v>32</v>
      </c>
      <c r="K7" s="31"/>
      <c r="L7" s="32"/>
      <c r="M7" s="33"/>
      <c r="N7" s="33"/>
      <c r="O7" s="34"/>
      <c r="P7" s="35"/>
      <c r="Q7" s="36"/>
      <c r="R7" s="33"/>
      <c r="S7" s="34"/>
    </row>
    <row r="8" spans="1:19" x14ac:dyDescent="0.35">
      <c r="A8" s="30"/>
      <c r="B8" s="48"/>
      <c r="C8" s="49"/>
      <c r="D8" s="30"/>
      <c r="E8" s="64"/>
      <c r="F8" s="65"/>
      <c r="G8" s="66"/>
      <c r="H8" s="30">
        <v>3</v>
      </c>
      <c r="I8" s="51" t="s">
        <v>34</v>
      </c>
      <c r="J8" s="37" t="s">
        <v>35</v>
      </c>
      <c r="K8" s="31"/>
      <c r="L8" s="32"/>
      <c r="M8" s="33"/>
      <c r="N8" s="33"/>
      <c r="O8" s="34"/>
      <c r="P8" s="35"/>
      <c r="Q8" s="36"/>
      <c r="R8" s="33"/>
      <c r="S8" s="34"/>
    </row>
    <row r="9" spans="1:19" x14ac:dyDescent="0.35">
      <c r="A9" s="30"/>
      <c r="B9" s="48"/>
      <c r="C9" s="49"/>
      <c r="D9" s="30"/>
      <c r="E9" s="48"/>
      <c r="F9" s="50"/>
      <c r="G9" s="49"/>
      <c r="H9" s="30">
        <v>4</v>
      </c>
      <c r="I9" s="51" t="s">
        <v>36</v>
      </c>
      <c r="J9" s="37" t="s">
        <v>35</v>
      </c>
      <c r="K9" s="31"/>
      <c r="L9" s="32"/>
      <c r="M9" s="33"/>
      <c r="N9" s="33"/>
      <c r="O9" s="34"/>
      <c r="P9" s="35"/>
      <c r="Q9" s="36"/>
      <c r="R9" s="33"/>
      <c r="S9" s="34"/>
    </row>
    <row r="10" spans="1:19" x14ac:dyDescent="0.35">
      <c r="A10" s="30"/>
      <c r="B10" s="48"/>
      <c r="C10" s="49"/>
      <c r="D10" s="30">
        <v>2</v>
      </c>
      <c r="E10" s="54" t="s">
        <v>37</v>
      </c>
      <c r="F10" s="63"/>
      <c r="G10" s="55"/>
      <c r="H10" s="30">
        <v>1</v>
      </c>
      <c r="I10" s="51" t="s">
        <v>38</v>
      </c>
      <c r="J10" s="37" t="s">
        <v>39</v>
      </c>
      <c r="K10" s="31"/>
      <c r="L10" s="32"/>
      <c r="M10" s="33"/>
      <c r="N10" s="33"/>
      <c r="O10" s="34"/>
      <c r="P10" s="35"/>
      <c r="Q10" s="36"/>
      <c r="R10" s="33"/>
      <c r="S10" s="34"/>
    </row>
    <row r="11" spans="1:19" x14ac:dyDescent="0.35">
      <c r="A11" s="30"/>
      <c r="B11" s="48"/>
      <c r="C11" s="49"/>
      <c r="D11" s="30"/>
      <c r="E11" s="48"/>
      <c r="F11" s="50"/>
      <c r="G11" s="49"/>
      <c r="H11" s="30">
        <v>2</v>
      </c>
      <c r="I11" s="51" t="s">
        <v>40</v>
      </c>
      <c r="J11" s="37" t="s">
        <v>41</v>
      </c>
      <c r="K11" s="31"/>
      <c r="L11" s="32"/>
      <c r="M11" s="33"/>
      <c r="N11" s="33"/>
      <c r="O11" s="34"/>
      <c r="P11" s="35"/>
      <c r="Q11" s="36"/>
      <c r="R11" s="33"/>
      <c r="S11" s="34"/>
    </row>
    <row r="12" spans="1:19" x14ac:dyDescent="0.35">
      <c r="A12" s="30"/>
      <c r="B12" s="48"/>
      <c r="C12" s="49"/>
      <c r="D12" s="30"/>
      <c r="E12" s="48"/>
      <c r="F12" s="50"/>
      <c r="G12" s="49"/>
      <c r="H12" s="30">
        <v>3</v>
      </c>
      <c r="I12" s="51" t="s">
        <v>42</v>
      </c>
      <c r="J12" s="37" t="s">
        <v>43</v>
      </c>
      <c r="K12" s="31"/>
      <c r="L12" s="32"/>
      <c r="M12" s="33"/>
      <c r="N12" s="33"/>
      <c r="O12" s="34"/>
      <c r="P12" s="35"/>
      <c r="Q12" s="36"/>
      <c r="R12" s="33"/>
      <c r="S12" s="34"/>
    </row>
    <row r="13" spans="1:19" x14ac:dyDescent="0.35">
      <c r="A13" s="30"/>
      <c r="B13" s="48"/>
      <c r="C13" s="49"/>
      <c r="D13" s="30"/>
      <c r="E13" s="48"/>
      <c r="F13" s="50"/>
      <c r="G13" s="49"/>
      <c r="H13" s="30">
        <v>4</v>
      </c>
      <c r="I13" s="51" t="s">
        <v>44</v>
      </c>
      <c r="J13" s="37" t="s">
        <v>45</v>
      </c>
      <c r="K13" s="31"/>
      <c r="L13" s="32"/>
      <c r="M13" s="33"/>
      <c r="N13" s="33"/>
      <c r="O13" s="34"/>
      <c r="P13" s="35"/>
      <c r="Q13" s="36"/>
      <c r="R13" s="33"/>
      <c r="S13" s="34"/>
    </row>
    <row r="14" spans="1:19" x14ac:dyDescent="0.35">
      <c r="A14" s="30"/>
      <c r="B14" s="48"/>
      <c r="C14" s="49"/>
      <c r="D14" s="30"/>
      <c r="E14" s="48"/>
      <c r="F14" s="50"/>
      <c r="G14" s="49"/>
      <c r="H14" s="30">
        <v>5</v>
      </c>
      <c r="I14" s="51" t="s">
        <v>46</v>
      </c>
      <c r="J14" s="53" t="b">
        <v>1</v>
      </c>
      <c r="K14" s="31"/>
      <c r="L14" s="32"/>
      <c r="M14" s="33"/>
      <c r="N14" s="33"/>
      <c r="O14" s="34"/>
      <c r="P14" s="35"/>
      <c r="Q14" s="36"/>
      <c r="R14" s="33"/>
      <c r="S14" s="34"/>
    </row>
    <row r="15" spans="1:19" x14ac:dyDescent="0.35">
      <c r="A15" s="30"/>
      <c r="B15" s="48"/>
      <c r="C15" s="49"/>
      <c r="D15" s="30"/>
      <c r="E15" s="48"/>
      <c r="F15" s="50"/>
      <c r="G15" s="49"/>
      <c r="H15" s="30">
        <v>8</v>
      </c>
      <c r="I15" s="51" t="s">
        <v>47</v>
      </c>
      <c r="J15" s="37" t="s">
        <v>48</v>
      </c>
      <c r="K15" s="31"/>
      <c r="L15" s="32"/>
      <c r="M15" s="33"/>
      <c r="N15" s="33"/>
      <c r="O15" s="34"/>
      <c r="P15" s="35"/>
      <c r="Q15" s="36"/>
      <c r="R15" s="33"/>
      <c r="S15" s="34"/>
    </row>
    <row r="16" spans="1:19" x14ac:dyDescent="0.35">
      <c r="A16" s="30"/>
      <c r="B16" s="48"/>
      <c r="C16" s="49"/>
      <c r="D16" s="30"/>
      <c r="E16" s="48"/>
      <c r="F16" s="50"/>
      <c r="G16" s="49"/>
      <c r="H16" s="30">
        <v>9</v>
      </c>
      <c r="I16" s="51" t="s">
        <v>49</v>
      </c>
      <c r="J16" s="37" t="s">
        <v>50</v>
      </c>
      <c r="K16" s="31"/>
      <c r="L16" s="32"/>
      <c r="M16" s="33"/>
      <c r="N16" s="33"/>
      <c r="O16" s="34"/>
      <c r="P16" s="35"/>
      <c r="Q16" s="36"/>
      <c r="R16" s="33"/>
      <c r="S16" s="34"/>
    </row>
    <row r="17" spans="1:19" x14ac:dyDescent="0.35">
      <c r="A17" s="30"/>
      <c r="B17" s="48"/>
      <c r="C17" s="49"/>
      <c r="D17" s="30">
        <v>3</v>
      </c>
      <c r="E17" s="54" t="s">
        <v>51</v>
      </c>
      <c r="F17" s="63"/>
      <c r="G17" s="55"/>
      <c r="H17" s="30"/>
      <c r="I17" s="51" t="s">
        <v>52</v>
      </c>
      <c r="J17" s="37" t="s">
        <v>53</v>
      </c>
      <c r="K17" s="31"/>
      <c r="L17" s="32"/>
      <c r="M17" s="33"/>
      <c r="N17" s="33"/>
      <c r="O17" s="34"/>
      <c r="P17" s="35"/>
      <c r="Q17" s="36"/>
      <c r="R17" s="33"/>
      <c r="S17" s="34"/>
    </row>
    <row r="18" spans="1:19" ht="34.5" customHeight="1" x14ac:dyDescent="0.35">
      <c r="A18" s="30"/>
      <c r="B18" s="48"/>
      <c r="C18" s="49"/>
      <c r="D18" s="30">
        <v>4</v>
      </c>
      <c r="E18" s="54" t="s">
        <v>54</v>
      </c>
      <c r="F18" s="63"/>
      <c r="G18" s="55"/>
      <c r="H18" s="30">
        <v>3</v>
      </c>
      <c r="I18" s="51" t="s">
        <v>34</v>
      </c>
      <c r="J18" s="37" t="s">
        <v>55</v>
      </c>
      <c r="K18" s="31"/>
      <c r="L18" s="32"/>
      <c r="M18" s="33"/>
      <c r="N18" s="33"/>
      <c r="O18" s="34"/>
      <c r="P18" s="35"/>
      <c r="Q18" s="36"/>
      <c r="R18" s="33"/>
      <c r="S18" s="34"/>
    </row>
    <row r="19" spans="1:19" ht="126" x14ac:dyDescent="0.35">
      <c r="A19" s="30">
        <v>2</v>
      </c>
      <c r="B19" s="54" t="s">
        <v>56</v>
      </c>
      <c r="C19" s="55"/>
      <c r="D19" s="30">
        <v>1</v>
      </c>
      <c r="E19" s="54" t="s">
        <v>30</v>
      </c>
      <c r="F19" s="63"/>
      <c r="G19" s="55"/>
      <c r="H19" s="30">
        <v>1</v>
      </c>
      <c r="I19" s="47" t="s">
        <v>31</v>
      </c>
      <c r="J19" s="37" t="s">
        <v>32</v>
      </c>
      <c r="K19" s="31"/>
      <c r="L19" s="32"/>
      <c r="M19" s="33"/>
      <c r="N19" s="33"/>
      <c r="O19" s="34"/>
      <c r="P19" s="35"/>
      <c r="Q19" s="36"/>
      <c r="R19" s="33"/>
      <c r="S19" s="34"/>
    </row>
    <row r="20" spans="1:19" ht="126" x14ac:dyDescent="0.35">
      <c r="A20" s="30"/>
      <c r="B20" s="54"/>
      <c r="C20" s="55"/>
      <c r="D20" s="30"/>
      <c r="E20" s="54"/>
      <c r="F20" s="63"/>
      <c r="G20" s="55"/>
      <c r="H20" s="30">
        <v>2</v>
      </c>
      <c r="I20" s="51" t="s">
        <v>33</v>
      </c>
      <c r="J20" s="37" t="s">
        <v>32</v>
      </c>
      <c r="K20" s="31"/>
      <c r="L20" s="32"/>
      <c r="M20" s="33"/>
      <c r="N20" s="33"/>
      <c r="O20" s="34"/>
      <c r="P20" s="35"/>
      <c r="Q20" s="36"/>
      <c r="R20" s="33"/>
      <c r="S20" s="34"/>
    </row>
    <row r="21" spans="1:19" x14ac:dyDescent="0.35">
      <c r="A21" s="30"/>
      <c r="B21" s="48"/>
      <c r="C21" s="49"/>
      <c r="D21" s="30"/>
      <c r="E21" s="64"/>
      <c r="F21" s="65"/>
      <c r="G21" s="66"/>
      <c r="H21" s="30">
        <v>3</v>
      </c>
      <c r="I21" s="51" t="s">
        <v>34</v>
      </c>
      <c r="J21" s="37" t="s">
        <v>35</v>
      </c>
      <c r="K21" s="31"/>
      <c r="L21" s="32"/>
      <c r="M21" s="33"/>
      <c r="N21" s="33"/>
      <c r="O21" s="34"/>
      <c r="P21" s="35"/>
      <c r="Q21" s="36"/>
      <c r="R21" s="33"/>
      <c r="S21" s="34"/>
    </row>
    <row r="22" spans="1:19" x14ac:dyDescent="0.35">
      <c r="A22" s="30"/>
      <c r="B22" s="48"/>
      <c r="C22" s="49"/>
      <c r="D22" s="30"/>
      <c r="E22" s="48"/>
      <c r="F22" s="50"/>
      <c r="G22" s="49"/>
      <c r="H22" s="30">
        <v>4</v>
      </c>
      <c r="I22" s="51" t="s">
        <v>36</v>
      </c>
      <c r="J22" s="37" t="s">
        <v>35</v>
      </c>
      <c r="K22" s="31"/>
      <c r="L22" s="32"/>
      <c r="M22" s="33"/>
      <c r="N22" s="33"/>
      <c r="O22" s="34"/>
      <c r="P22" s="35"/>
      <c r="Q22" s="36"/>
      <c r="R22" s="33"/>
      <c r="S22" s="34"/>
    </row>
    <row r="23" spans="1:19" x14ac:dyDescent="0.35">
      <c r="A23" s="30"/>
      <c r="B23" s="48"/>
      <c r="C23" s="49"/>
      <c r="D23" s="30">
        <v>2</v>
      </c>
      <c r="E23" s="54" t="s">
        <v>37</v>
      </c>
      <c r="F23" s="63"/>
      <c r="G23" s="55"/>
      <c r="H23" s="30">
        <v>1</v>
      </c>
      <c r="I23" s="51" t="s">
        <v>38</v>
      </c>
      <c r="J23" s="37" t="s">
        <v>39</v>
      </c>
      <c r="K23" s="31"/>
      <c r="L23" s="32"/>
      <c r="M23" s="33"/>
      <c r="N23" s="33"/>
      <c r="O23" s="34"/>
      <c r="P23" s="35"/>
      <c r="Q23" s="36"/>
      <c r="R23" s="33"/>
      <c r="S23" s="34"/>
    </row>
    <row r="24" spans="1:19" x14ac:dyDescent="0.35">
      <c r="A24" s="30"/>
      <c r="B24" s="48"/>
      <c r="C24" s="49"/>
      <c r="D24" s="30"/>
      <c r="E24" s="48"/>
      <c r="F24" s="50"/>
      <c r="G24" s="49"/>
      <c r="H24" s="30">
        <v>2</v>
      </c>
      <c r="I24" s="51" t="s">
        <v>40</v>
      </c>
      <c r="J24" s="37" t="s">
        <v>57</v>
      </c>
      <c r="K24" s="31"/>
      <c r="L24" s="32"/>
      <c r="M24" s="33"/>
      <c r="N24" s="33"/>
      <c r="O24" s="34"/>
      <c r="P24" s="35"/>
      <c r="Q24" s="36"/>
      <c r="R24" s="33"/>
      <c r="S24" s="34"/>
    </row>
    <row r="25" spans="1:19" x14ac:dyDescent="0.35">
      <c r="A25" s="30"/>
      <c r="B25" s="48"/>
      <c r="C25" s="49"/>
      <c r="D25" s="30"/>
      <c r="E25" s="48"/>
      <c r="F25" s="50"/>
      <c r="G25" s="49"/>
      <c r="H25" s="30">
        <v>3</v>
      </c>
      <c r="I25" s="51" t="s">
        <v>42</v>
      </c>
      <c r="J25" s="37" t="s">
        <v>58</v>
      </c>
      <c r="K25" s="31"/>
      <c r="L25" s="32"/>
      <c r="M25" s="33"/>
      <c r="N25" s="33"/>
      <c r="O25" s="34"/>
      <c r="P25" s="35"/>
      <c r="Q25" s="36"/>
      <c r="R25" s="33"/>
      <c r="S25" s="34"/>
    </row>
    <row r="26" spans="1:19" x14ac:dyDescent="0.35">
      <c r="A26" s="30"/>
      <c r="B26" s="48"/>
      <c r="C26" s="49"/>
      <c r="D26" s="30"/>
      <c r="E26" s="48"/>
      <c r="F26" s="50"/>
      <c r="G26" s="49"/>
      <c r="H26" s="30">
        <v>4</v>
      </c>
      <c r="I26" s="51" t="s">
        <v>44</v>
      </c>
      <c r="J26" s="37" t="s">
        <v>59</v>
      </c>
      <c r="K26" s="31"/>
      <c r="L26" s="32"/>
      <c r="M26" s="33"/>
      <c r="N26" s="33"/>
      <c r="O26" s="34"/>
      <c r="P26" s="35"/>
      <c r="Q26" s="36"/>
      <c r="R26" s="33"/>
      <c r="S26" s="34"/>
    </row>
    <row r="27" spans="1:19" x14ac:dyDescent="0.35">
      <c r="A27" s="30"/>
      <c r="B27" s="48"/>
      <c r="C27" s="49"/>
      <c r="D27" s="30"/>
      <c r="E27" s="48"/>
      <c r="F27" s="50"/>
      <c r="G27" s="49"/>
      <c r="H27" s="30">
        <v>5</v>
      </c>
      <c r="I27" s="51" t="s">
        <v>46</v>
      </c>
      <c r="J27" s="53" t="b">
        <v>1</v>
      </c>
      <c r="K27" s="31"/>
      <c r="L27" s="32"/>
      <c r="M27" s="33"/>
      <c r="N27" s="33"/>
      <c r="O27" s="34"/>
      <c r="P27" s="35"/>
      <c r="Q27" s="36"/>
      <c r="R27" s="33"/>
      <c r="S27" s="34"/>
    </row>
    <row r="28" spans="1:19" x14ac:dyDescent="0.35">
      <c r="A28" s="30"/>
      <c r="B28" s="48"/>
      <c r="C28" s="49"/>
      <c r="D28" s="30"/>
      <c r="E28" s="48"/>
      <c r="F28" s="50"/>
      <c r="G28" s="49"/>
      <c r="H28" s="30">
        <v>8</v>
      </c>
      <c r="I28" s="51" t="s">
        <v>47</v>
      </c>
      <c r="J28" s="37" t="s">
        <v>48</v>
      </c>
      <c r="K28" s="31"/>
      <c r="L28" s="32"/>
      <c r="M28" s="33"/>
      <c r="N28" s="33"/>
      <c r="O28" s="34"/>
      <c r="P28" s="35"/>
      <c r="Q28" s="36"/>
      <c r="R28" s="33"/>
      <c r="S28" s="34"/>
    </row>
    <row r="29" spans="1:19" x14ac:dyDescent="0.35">
      <c r="A29" s="30"/>
      <c r="B29" s="48"/>
      <c r="C29" s="49"/>
      <c r="D29" s="30"/>
      <c r="E29" s="48"/>
      <c r="F29" s="50"/>
      <c r="G29" s="49"/>
      <c r="H29" s="30">
        <v>9</v>
      </c>
      <c r="I29" s="51" t="s">
        <v>49</v>
      </c>
      <c r="J29" s="37" t="s">
        <v>50</v>
      </c>
      <c r="K29" s="31"/>
      <c r="L29" s="32"/>
      <c r="M29" s="33"/>
      <c r="N29" s="33"/>
      <c r="O29" s="34"/>
      <c r="P29" s="35"/>
      <c r="Q29" s="36"/>
      <c r="R29" s="33"/>
      <c r="S29" s="34"/>
    </row>
    <row r="30" spans="1:19" x14ac:dyDescent="0.35">
      <c r="A30" s="30"/>
      <c r="B30" s="54"/>
      <c r="C30" s="55"/>
      <c r="D30" s="30">
        <v>3</v>
      </c>
      <c r="E30" s="54" t="s">
        <v>51</v>
      </c>
      <c r="F30" s="63"/>
      <c r="G30" s="55"/>
      <c r="H30" s="30"/>
      <c r="I30" s="51" t="s">
        <v>52</v>
      </c>
      <c r="J30" s="37" t="s">
        <v>53</v>
      </c>
      <c r="K30" s="31"/>
      <c r="L30" s="32"/>
      <c r="M30" s="33"/>
      <c r="N30" s="33"/>
      <c r="O30" s="34"/>
      <c r="P30" s="35"/>
      <c r="Q30" s="36"/>
      <c r="R30" s="33"/>
      <c r="S30" s="34"/>
    </row>
    <row r="31" spans="1:19" ht="34.5" customHeight="1" x14ac:dyDescent="0.35">
      <c r="A31" s="30"/>
      <c r="B31" s="48"/>
      <c r="C31" s="49"/>
      <c r="D31" s="30">
        <v>4</v>
      </c>
      <c r="E31" s="54" t="s">
        <v>60</v>
      </c>
      <c r="F31" s="63"/>
      <c r="G31" s="55"/>
      <c r="H31" s="30">
        <v>3</v>
      </c>
      <c r="I31" s="51" t="s">
        <v>34</v>
      </c>
      <c r="J31" s="37" t="s">
        <v>55</v>
      </c>
      <c r="K31" s="31"/>
      <c r="L31" s="32"/>
      <c r="M31" s="33"/>
      <c r="N31" s="33"/>
      <c r="O31" s="34"/>
      <c r="P31" s="35"/>
      <c r="Q31" s="36"/>
      <c r="R31" s="33"/>
      <c r="S31" s="34"/>
    </row>
    <row r="32" spans="1:19" ht="33.75" customHeight="1" x14ac:dyDescent="0.35">
      <c r="A32" s="30">
        <v>3</v>
      </c>
      <c r="B32" s="54" t="s">
        <v>61</v>
      </c>
      <c r="C32" s="55"/>
      <c r="D32" s="30">
        <v>1</v>
      </c>
      <c r="E32" s="54" t="s">
        <v>37</v>
      </c>
      <c r="F32" s="63"/>
      <c r="G32" s="55"/>
      <c r="H32" s="30">
        <v>1</v>
      </c>
      <c r="I32" s="51" t="s">
        <v>38</v>
      </c>
      <c r="J32" s="37" t="s">
        <v>39</v>
      </c>
      <c r="K32" s="31"/>
      <c r="L32" s="32"/>
      <c r="M32" s="33"/>
      <c r="N32" s="33"/>
      <c r="O32" s="34"/>
      <c r="P32" s="35"/>
      <c r="Q32" s="36"/>
      <c r="R32" s="33"/>
      <c r="S32" s="34"/>
    </row>
    <row r="33" spans="1:19" ht="32.25" customHeight="1" x14ac:dyDescent="0.35">
      <c r="A33" s="30"/>
      <c r="B33" s="54"/>
      <c r="C33" s="55"/>
      <c r="D33" s="30"/>
      <c r="E33" s="48"/>
      <c r="F33" s="50"/>
      <c r="G33" s="49"/>
      <c r="H33" s="30">
        <v>2</v>
      </c>
      <c r="I33" s="51" t="s">
        <v>40</v>
      </c>
      <c r="J33" s="37" t="s">
        <v>62</v>
      </c>
      <c r="K33" s="31"/>
      <c r="L33" s="32"/>
      <c r="M33" s="33"/>
      <c r="N33" s="33"/>
      <c r="O33" s="34"/>
      <c r="P33" s="35"/>
      <c r="Q33" s="36"/>
      <c r="R33" s="33"/>
      <c r="S33" s="34"/>
    </row>
    <row r="34" spans="1:19" x14ac:dyDescent="0.35">
      <c r="A34" s="30"/>
      <c r="B34" s="48"/>
      <c r="C34" s="49"/>
      <c r="D34" s="30"/>
      <c r="E34" s="48"/>
      <c r="F34" s="50"/>
      <c r="G34" s="49"/>
      <c r="H34" s="30">
        <v>3</v>
      </c>
      <c r="I34" s="51" t="s">
        <v>42</v>
      </c>
      <c r="J34" s="37" t="s">
        <v>63</v>
      </c>
      <c r="K34" s="31"/>
      <c r="L34" s="32"/>
      <c r="M34" s="33"/>
      <c r="N34" s="33"/>
      <c r="O34" s="34"/>
      <c r="P34" s="35"/>
      <c r="Q34" s="36"/>
      <c r="R34" s="33"/>
      <c r="S34" s="34"/>
    </row>
    <row r="35" spans="1:19" ht="47.25" x14ac:dyDescent="0.35">
      <c r="A35" s="30"/>
      <c r="B35" s="48"/>
      <c r="C35" s="49"/>
      <c r="D35" s="30"/>
      <c r="E35" s="48"/>
      <c r="F35" s="50"/>
      <c r="G35" s="49"/>
      <c r="H35" s="30">
        <v>4</v>
      </c>
      <c r="I35" s="51" t="s">
        <v>44</v>
      </c>
      <c r="J35" s="37" t="s">
        <v>64</v>
      </c>
      <c r="K35" s="31"/>
      <c r="L35" s="32"/>
      <c r="M35" s="33"/>
      <c r="N35" s="33"/>
      <c r="O35" s="34"/>
      <c r="P35" s="35"/>
      <c r="Q35" s="36"/>
      <c r="R35" s="33"/>
      <c r="S35" s="34"/>
    </row>
    <row r="36" spans="1:19" x14ac:dyDescent="0.35">
      <c r="A36" s="30"/>
      <c r="B36" s="48"/>
      <c r="C36" s="49"/>
      <c r="D36" s="30"/>
      <c r="E36" s="48"/>
      <c r="F36" s="50"/>
      <c r="G36" s="49"/>
      <c r="H36" s="30">
        <v>5</v>
      </c>
      <c r="I36" s="51" t="s">
        <v>46</v>
      </c>
      <c r="J36" s="53" t="b">
        <v>1</v>
      </c>
      <c r="K36" s="31"/>
      <c r="L36" s="32"/>
      <c r="M36" s="33"/>
      <c r="N36" s="33"/>
      <c r="O36" s="34"/>
      <c r="P36" s="35"/>
      <c r="Q36" s="36"/>
      <c r="R36" s="33"/>
      <c r="S36" s="34"/>
    </row>
    <row r="37" spans="1:19" x14ac:dyDescent="0.35">
      <c r="A37" s="30"/>
      <c r="B37" s="48"/>
      <c r="C37" s="49"/>
      <c r="D37" s="30"/>
      <c r="E37" s="48"/>
      <c r="F37" s="50"/>
      <c r="G37" s="49"/>
      <c r="H37" s="30">
        <v>8</v>
      </c>
      <c r="I37" s="51" t="s">
        <v>47</v>
      </c>
      <c r="J37" s="37" t="s">
        <v>48</v>
      </c>
      <c r="K37" s="31"/>
      <c r="L37" s="32"/>
      <c r="M37" s="33"/>
      <c r="N37" s="33"/>
      <c r="O37" s="34"/>
      <c r="P37" s="35"/>
      <c r="Q37" s="36"/>
      <c r="R37" s="33"/>
      <c r="S37" s="34"/>
    </row>
    <row r="38" spans="1:19" x14ac:dyDescent="0.35">
      <c r="A38" s="30"/>
      <c r="B38" s="48"/>
      <c r="C38" s="49"/>
      <c r="D38" s="30"/>
      <c r="E38" s="48"/>
      <c r="F38" s="50"/>
      <c r="G38" s="49"/>
      <c r="H38" s="30">
        <v>9</v>
      </c>
      <c r="I38" s="51" t="s">
        <v>49</v>
      </c>
      <c r="J38" s="37" t="s">
        <v>50</v>
      </c>
      <c r="K38" s="31"/>
      <c r="L38" s="32"/>
      <c r="M38" s="33"/>
      <c r="N38" s="33"/>
      <c r="O38" s="34"/>
      <c r="P38" s="35"/>
      <c r="Q38" s="36"/>
      <c r="R38" s="33"/>
      <c r="S38" s="34"/>
    </row>
    <row r="39" spans="1:19" ht="34.5" customHeight="1" x14ac:dyDescent="0.35">
      <c r="A39" s="30"/>
      <c r="B39" s="48"/>
      <c r="C39" s="49"/>
      <c r="D39" s="30">
        <v>2</v>
      </c>
      <c r="E39" s="54" t="s">
        <v>65</v>
      </c>
      <c r="F39" s="63"/>
      <c r="G39" s="55"/>
      <c r="H39" s="30">
        <v>3</v>
      </c>
      <c r="I39" s="51" t="s">
        <v>34</v>
      </c>
      <c r="J39" s="37" t="s">
        <v>55</v>
      </c>
      <c r="K39" s="31"/>
      <c r="L39" s="32"/>
      <c r="M39" s="33"/>
      <c r="N39" s="33"/>
      <c r="O39" s="34"/>
      <c r="P39" s="35"/>
      <c r="Q39" s="36"/>
      <c r="R39" s="33"/>
      <c r="S39" s="34"/>
    </row>
    <row r="40" spans="1:19" ht="33.75" customHeight="1" x14ac:dyDescent="0.35">
      <c r="A40" s="30">
        <v>4</v>
      </c>
      <c r="B40" s="54" t="s">
        <v>66</v>
      </c>
      <c r="C40" s="55"/>
      <c r="D40" s="30">
        <v>1</v>
      </c>
      <c r="E40" s="54" t="s">
        <v>37</v>
      </c>
      <c r="F40" s="63"/>
      <c r="G40" s="55"/>
      <c r="H40" s="30">
        <v>1</v>
      </c>
      <c r="I40" s="51" t="s">
        <v>38</v>
      </c>
      <c r="J40" s="37" t="s">
        <v>39</v>
      </c>
      <c r="K40" s="31"/>
      <c r="L40" s="32"/>
      <c r="M40" s="33"/>
      <c r="N40" s="33"/>
      <c r="O40" s="34"/>
      <c r="P40" s="35"/>
      <c r="Q40" s="36"/>
      <c r="R40" s="33"/>
      <c r="S40" s="34"/>
    </row>
    <row r="41" spans="1:19" ht="32.25" customHeight="1" x14ac:dyDescent="0.35">
      <c r="A41" s="30"/>
      <c r="B41" s="54"/>
      <c r="C41" s="55"/>
      <c r="D41" s="30"/>
      <c r="E41" s="48"/>
      <c r="F41" s="50"/>
      <c r="G41" s="49"/>
      <c r="H41" s="30">
        <v>2</v>
      </c>
      <c r="I41" s="51" t="s">
        <v>40</v>
      </c>
      <c r="J41" s="37" t="s">
        <v>67</v>
      </c>
      <c r="K41" s="31"/>
      <c r="L41" s="32"/>
      <c r="M41" s="33"/>
      <c r="N41" s="33"/>
      <c r="O41" s="34"/>
      <c r="P41" s="35"/>
      <c r="Q41" s="36"/>
      <c r="R41" s="33"/>
      <c r="S41" s="34"/>
    </row>
    <row r="42" spans="1:19" x14ac:dyDescent="0.35">
      <c r="A42" s="30"/>
      <c r="B42" s="48"/>
      <c r="C42" s="49"/>
      <c r="D42" s="30"/>
      <c r="E42" s="48"/>
      <c r="F42" s="50"/>
      <c r="G42" s="49"/>
      <c r="H42" s="30">
        <v>3</v>
      </c>
      <c r="I42" s="51" t="s">
        <v>42</v>
      </c>
      <c r="J42" s="37" t="s">
        <v>63</v>
      </c>
      <c r="K42" s="31"/>
      <c r="L42" s="32"/>
      <c r="M42" s="33"/>
      <c r="N42" s="33"/>
      <c r="O42" s="34"/>
      <c r="P42" s="35"/>
      <c r="Q42" s="36"/>
      <c r="R42" s="33"/>
      <c r="S42" s="34"/>
    </row>
    <row r="43" spans="1:19" ht="63" x14ac:dyDescent="0.35">
      <c r="A43" s="30"/>
      <c r="B43" s="48"/>
      <c r="C43" s="49"/>
      <c r="D43" s="30"/>
      <c r="E43" s="48"/>
      <c r="F43" s="50"/>
      <c r="G43" s="49"/>
      <c r="H43" s="30">
        <v>4</v>
      </c>
      <c r="I43" s="51" t="s">
        <v>44</v>
      </c>
      <c r="J43" s="37" t="s">
        <v>68</v>
      </c>
      <c r="K43" s="31"/>
      <c r="L43" s="32"/>
      <c r="M43" s="33"/>
      <c r="N43" s="33"/>
      <c r="O43" s="34"/>
      <c r="P43" s="35"/>
      <c r="Q43" s="36"/>
      <c r="R43" s="33"/>
      <c r="S43" s="34"/>
    </row>
    <row r="44" spans="1:19" x14ac:dyDescent="0.35">
      <c r="A44" s="30"/>
      <c r="B44" s="48"/>
      <c r="C44" s="49"/>
      <c r="D44" s="30"/>
      <c r="E44" s="48"/>
      <c r="F44" s="50"/>
      <c r="G44" s="49"/>
      <c r="H44" s="30">
        <v>5</v>
      </c>
      <c r="I44" s="51" t="s">
        <v>46</v>
      </c>
      <c r="J44" s="53" t="b">
        <v>0</v>
      </c>
      <c r="K44" s="31"/>
      <c r="L44" s="32"/>
      <c r="M44" s="33"/>
      <c r="N44" s="33"/>
      <c r="O44" s="34"/>
      <c r="P44" s="35"/>
      <c r="Q44" s="36"/>
      <c r="R44" s="33"/>
      <c r="S44" s="34"/>
    </row>
    <row r="45" spans="1:19" x14ac:dyDescent="0.35">
      <c r="A45" s="30"/>
      <c r="B45" s="48"/>
      <c r="C45" s="49"/>
      <c r="D45" s="30"/>
      <c r="E45" s="48"/>
      <c r="F45" s="50"/>
      <c r="G45" s="49"/>
      <c r="H45" s="30">
        <v>8</v>
      </c>
      <c r="I45" s="51" t="s">
        <v>47</v>
      </c>
      <c r="J45" s="37" t="s">
        <v>48</v>
      </c>
      <c r="K45" s="31"/>
      <c r="L45" s="32"/>
      <c r="M45" s="33"/>
      <c r="N45" s="33"/>
      <c r="O45" s="34"/>
      <c r="P45" s="35"/>
      <c r="Q45" s="36"/>
      <c r="R45" s="33"/>
      <c r="S45" s="34"/>
    </row>
    <row r="46" spans="1:19" x14ac:dyDescent="0.35">
      <c r="A46" s="30"/>
      <c r="B46" s="48"/>
      <c r="C46" s="49"/>
      <c r="D46" s="30"/>
      <c r="E46" s="48"/>
      <c r="F46" s="50"/>
      <c r="G46" s="49"/>
      <c r="H46" s="30">
        <v>9</v>
      </c>
      <c r="I46" s="51" t="s">
        <v>49</v>
      </c>
      <c r="J46" s="37" t="s">
        <v>50</v>
      </c>
      <c r="K46" s="31"/>
      <c r="L46" s="32"/>
      <c r="M46" s="33"/>
      <c r="N46" s="33"/>
      <c r="O46" s="34"/>
      <c r="P46" s="35"/>
      <c r="Q46" s="36"/>
      <c r="R46" s="33"/>
      <c r="S46" s="34"/>
    </row>
    <row r="47" spans="1:19" ht="34.5" customHeight="1" x14ac:dyDescent="0.35">
      <c r="A47" s="30"/>
      <c r="B47" s="48"/>
      <c r="C47" s="49"/>
      <c r="D47" s="30">
        <v>2</v>
      </c>
      <c r="E47" s="54" t="s">
        <v>65</v>
      </c>
      <c r="F47" s="63"/>
      <c r="G47" s="55"/>
      <c r="H47" s="30">
        <v>3</v>
      </c>
      <c r="I47" s="51" t="s">
        <v>34</v>
      </c>
      <c r="J47" s="37" t="s">
        <v>55</v>
      </c>
      <c r="K47" s="31"/>
      <c r="L47" s="32"/>
      <c r="M47" s="33"/>
      <c r="N47" s="33"/>
      <c r="O47" s="34"/>
      <c r="P47" s="35"/>
      <c r="Q47" s="36"/>
      <c r="R47" s="33"/>
      <c r="S47" s="34"/>
    </row>
    <row r="48" spans="1:19" ht="33.75" customHeight="1" x14ac:dyDescent="0.35">
      <c r="A48" s="30">
        <v>4</v>
      </c>
      <c r="B48" s="64" t="s">
        <v>69</v>
      </c>
      <c r="C48" s="66"/>
      <c r="D48" s="30">
        <v>1</v>
      </c>
      <c r="E48" s="64" t="s">
        <v>70</v>
      </c>
      <c r="F48" s="65"/>
      <c r="G48" s="66"/>
      <c r="H48" s="30">
        <v>1</v>
      </c>
      <c r="I48" s="51" t="s">
        <v>71</v>
      </c>
      <c r="J48" s="37" t="s">
        <v>72</v>
      </c>
      <c r="K48" s="31"/>
      <c r="L48" s="32"/>
      <c r="M48" s="33"/>
      <c r="N48" s="33"/>
      <c r="O48" s="34"/>
      <c r="P48" s="35"/>
      <c r="Q48" s="36"/>
      <c r="R48" s="33"/>
      <c r="S48" s="34"/>
    </row>
    <row r="49" spans="1:19" ht="31.5" x14ac:dyDescent="0.35">
      <c r="A49" s="30"/>
      <c r="B49" s="48"/>
      <c r="C49" s="49"/>
      <c r="D49" s="30"/>
      <c r="E49" s="48"/>
      <c r="F49" s="50"/>
      <c r="G49" s="49"/>
      <c r="H49" s="30">
        <v>1</v>
      </c>
      <c r="I49" s="52" t="s">
        <v>73</v>
      </c>
      <c r="J49" s="37" t="s">
        <v>55</v>
      </c>
      <c r="K49" s="31"/>
      <c r="L49" s="32"/>
      <c r="M49" s="33"/>
      <c r="N49" s="33"/>
      <c r="O49" s="34"/>
      <c r="P49" s="35"/>
      <c r="Q49" s="36"/>
      <c r="R49" s="33"/>
      <c r="S49" s="34"/>
    </row>
    <row r="50" spans="1:19" ht="31.5" customHeight="1" x14ac:dyDescent="0.35">
      <c r="A50" s="38"/>
      <c r="B50" s="71"/>
      <c r="C50" s="72"/>
      <c r="D50" s="38"/>
      <c r="E50" s="71"/>
      <c r="F50" s="73"/>
      <c r="G50" s="72"/>
      <c r="H50" s="38"/>
      <c r="I50" s="46"/>
      <c r="J50" s="39"/>
      <c r="K50" s="40"/>
      <c r="L50" s="41"/>
      <c r="M50" s="42"/>
      <c r="N50" s="42"/>
      <c r="O50" s="43"/>
      <c r="P50" s="44"/>
      <c r="Q50" s="45"/>
      <c r="R50" s="42"/>
      <c r="S50" s="43"/>
    </row>
    <row r="53" spans="1:19" x14ac:dyDescent="0.35">
      <c r="J53" s="8">
        <f>COUNTA(J6:J50)</f>
        <v>44</v>
      </c>
      <c r="L53" s="8" t="s">
        <v>74</v>
      </c>
      <c r="M53" s="8">
        <f>COUNTIF($M$6:$M$50,L53)</f>
        <v>0</v>
      </c>
    </row>
    <row r="54" spans="1:19" x14ac:dyDescent="0.35">
      <c r="L54" s="8" t="s">
        <v>75</v>
      </c>
      <c r="M54" s="8">
        <f>COUNTIF($M$6:$M$50,L54)</f>
        <v>0</v>
      </c>
    </row>
    <row r="55" spans="1:19" x14ac:dyDescent="0.35">
      <c r="L55" s="8" t="s">
        <v>76</v>
      </c>
      <c r="M55" s="8">
        <f>J53-(M53+M54)</f>
        <v>44</v>
      </c>
    </row>
  </sheetData>
  <mergeCells count="43">
    <mergeCell ref="B50:C50"/>
    <mergeCell ref="E50:G50"/>
    <mergeCell ref="A2:B2"/>
    <mergeCell ref="E2:F3"/>
    <mergeCell ref="G2:I2"/>
    <mergeCell ref="B6:C6"/>
    <mergeCell ref="E6:G6"/>
    <mergeCell ref="A3:B3"/>
    <mergeCell ref="E8:G8"/>
    <mergeCell ref="E10:G10"/>
    <mergeCell ref="B48:C48"/>
    <mergeCell ref="E48:G48"/>
    <mergeCell ref="E47:G47"/>
    <mergeCell ref="E40:G40"/>
    <mergeCell ref="B19:C19"/>
    <mergeCell ref="B41:C41"/>
    <mergeCell ref="P1:Q1"/>
    <mergeCell ref="R1:S1"/>
    <mergeCell ref="P2:Q2"/>
    <mergeCell ref="R2:S2"/>
    <mergeCell ref="B30:C30"/>
    <mergeCell ref="A1:B1"/>
    <mergeCell ref="E1:F1"/>
    <mergeCell ref="G1:I1"/>
    <mergeCell ref="E7:G7"/>
    <mergeCell ref="B20:C20"/>
    <mergeCell ref="E17:G17"/>
    <mergeCell ref="B40:C40"/>
    <mergeCell ref="G3:I3"/>
    <mergeCell ref="P3:Q3"/>
    <mergeCell ref="R3:S3"/>
    <mergeCell ref="E19:G19"/>
    <mergeCell ref="E20:G20"/>
    <mergeCell ref="E21:G21"/>
    <mergeCell ref="E23:G23"/>
    <mergeCell ref="E30:G30"/>
    <mergeCell ref="E18:G18"/>
    <mergeCell ref="E31:G31"/>
    <mergeCell ref="B32:C32"/>
    <mergeCell ref="E32:G32"/>
    <mergeCell ref="B33:C33"/>
    <mergeCell ref="E39:G39"/>
    <mergeCell ref="B7:C7"/>
  </mergeCells>
  <phoneticPr fontId="1"/>
  <dataValidations count="3">
    <dataValidation imeMode="off" allowBlank="1" showInputMessage="1" showErrorMessage="1" sqref="R1:S3 O6:O50 S6:S50 K6:L50" xr:uid="{B2C22AC8-5F1C-4DC9-A157-7A6CD02C8733}"/>
    <dataValidation imeMode="off" allowBlank="1" showInputMessage="1" showErrorMessage="1" prompt="集計ツールを使用する場合、テストケースNoは、英数字で入力してください" sqref="H6:H50 D6:D50 A6:A50" xr:uid="{832B0AD3-6D8D-4EBB-AA4F-0DCA68B57FB4}"/>
    <dataValidation type="list" allowBlank="1" showInputMessage="1" showErrorMessage="1" sqref="M6:M50" xr:uid="{B0332EAE-3949-4D23-9852-E9F37FEC20FC}">
      <formula1>"合格,不合格"</formula1>
    </dataValidation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ee9ae-ac4c-4a91-bf2f-c539f84f9d4e" xsi:nil="true"/>
    <lcf76f155ced4ddcb4097134ff3c332f xmlns="991e4cd9-443b-4484-87b4-0c84d1f9a0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DED403E58C3CD44B28DB1F9FE2395C3" ma:contentTypeVersion="11" ma:contentTypeDescription="新しいドキュメントを作成します。" ma:contentTypeScope="" ma:versionID="28a1a67f5313b82695249cca5464319f">
  <xsd:schema xmlns:xsd="http://www.w3.org/2001/XMLSchema" xmlns:xs="http://www.w3.org/2001/XMLSchema" xmlns:p="http://schemas.microsoft.com/office/2006/metadata/properties" xmlns:ns2="991e4cd9-443b-4484-87b4-0c84d1f9a0ac" xmlns:ns3="8caee9ae-ac4c-4a91-bf2f-c539f84f9d4e" targetNamespace="http://schemas.microsoft.com/office/2006/metadata/properties" ma:root="true" ma:fieldsID="3cc695844608fe39e760623074686949" ns2:_="" ns3:_="">
    <xsd:import namespace="991e4cd9-443b-4484-87b4-0c84d1f9a0ac"/>
    <xsd:import namespace="8caee9ae-ac4c-4a91-bf2f-c539f84f9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e4cd9-443b-4484-87b4-0c84d1f9a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33717ea-bcde-468e-bdb9-e6e0ac669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e9ae-ac4c-4a91-bf2f-c539f84f9d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76dcc6-1276-4d94-b9f5-17d73966a0b9}" ma:internalName="TaxCatchAll" ma:showField="CatchAllData" ma:web="8caee9ae-ac4c-4a91-bf2f-c539f84f9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E76D1-1C80-4DBB-B5E5-1A118C3732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1E623F-B127-4777-BA82-6CF058B03372}">
  <ds:schemaRefs>
    <ds:schemaRef ds:uri="http://schemas.microsoft.com/office/2006/metadata/properties"/>
    <ds:schemaRef ds:uri="http://schemas.microsoft.com/office/infopath/2007/PartnerControls"/>
    <ds:schemaRef ds:uri="8caee9ae-ac4c-4a91-bf2f-c539f84f9d4e"/>
    <ds:schemaRef ds:uri="991e4cd9-443b-4484-87b4-0c84d1f9a0ac"/>
  </ds:schemaRefs>
</ds:datastoreItem>
</file>

<file path=customXml/itemProps3.xml><?xml version="1.0" encoding="utf-8"?>
<ds:datastoreItem xmlns:ds="http://schemas.openxmlformats.org/officeDocument/2006/customXml" ds:itemID="{BB0A77F0-E194-4551-A6B7-0A9314AA4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e4cd9-443b-4484-87b4-0c84d1f9a0ac"/>
    <ds:schemaRef ds:uri="8caee9ae-ac4c-4a91-bf2f-c539f84f9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me</vt:lpstr>
      <vt:lpstr>me!Print_Area</vt:lpstr>
      <vt:lpstr>me!Print_Titles</vt:lpstr>
    </vt:vector>
  </TitlesOfParts>
  <Manager/>
  <Company>TIS株式会社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IZ323テスト仕様書（テストケース）</dc:title>
  <dc:subject/>
  <dc:creator>技術本部 生産技術部</dc:creator>
  <cp:keywords/>
  <dc:description/>
  <cp:lastModifiedBy>ネウパネ　カイラシュ</cp:lastModifiedBy>
  <cp:revision>1</cp:revision>
  <dcterms:created xsi:type="dcterms:W3CDTF">2004-02-12T02:02:19Z</dcterms:created>
  <dcterms:modified xsi:type="dcterms:W3CDTF">2026-07-03T01:46:06Z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0x0101008DED403E58C3CD44B28DB1F9FE2395C3</vt:lpwstr>
  </property>
  <property fmtid="{D5CDD505-2E9C-101B-9397-08002B2CF9AE}" pid="3" name="MediaServiceImageTags">
    <vt:lpwstr/>
  </property>
</Properties>
</file>